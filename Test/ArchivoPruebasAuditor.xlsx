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jcast\Desktop\FI group\Proyectos\Test\"/>
    </mc:Choice>
  </mc:AlternateContent>
  <xr:revisionPtr revIDLastSave="0" documentId="13_ncr:1_{22B77CE6-BE17-4D91-9DE9-543BD0E20B36}" xr6:coauthVersionLast="47" xr6:coauthVersionMax="47" xr10:uidLastSave="{00000000-0000-0000-0000-000000000000}"/>
  <bookViews>
    <workbookView xWindow="-98" yWindow="-98" windowWidth="21795" windowHeight="12975" tabRatio="882" firstSheet="1" activeTab="3" xr2:uid="{00000000-000D-0000-FFFF-FFFF00000000}"/>
  </bookViews>
  <sheets>
    <sheet name="ANTES DE EMPEZAR" sheetId="19" state="hidden" r:id="rId1"/>
    <sheet name="RRHH" sheetId="6" r:id="rId2"/>
    <sheet name="Gastos de Operación" sheetId="11" r:id="rId3"/>
    <sheet name="Pers.Juridica" sheetId="5" r:id="rId4"/>
    <sheet name="Prop. Intelectual" sheetId="16" state="hidden" r:id="rId5"/>
    <sheet name="Arriendo" sheetId="12" r:id="rId6"/>
    <sheet name="Servicios Básicos" sheetId="4" r:id="rId7"/>
    <sheet name="Inversión" sheetId="15" state="hidden" r:id="rId8"/>
  </sheets>
  <definedNames>
    <definedName name="_xlnm._FilterDatabase" localSheetId="2" hidden="1">'Gastos de Operación'!$A$1:$U$76</definedName>
    <definedName name="_xlnm._FilterDatabase" localSheetId="6" hidden="1">'Servicios Básicos'!$A$1:$N$10</definedName>
    <definedName name="Año_Arriendo">Arriendo!$U$2:$U$4</definedName>
    <definedName name="Año_Basicos">'Servicios Básicos'!$U$2:$U$9</definedName>
    <definedName name="Año_Juridica">Pers.Juridica!$U$2:$U$8</definedName>
    <definedName name="Año_Operacion">'Gastos de Operación'!$U$2:$U$39</definedName>
    <definedName name="Año_Prop.intelectual" localSheetId="4">'Prop. Intelectual'!$U$2:$U$9</definedName>
    <definedName name="Año_RRHH">RRHH!$W$2:$W$24</definedName>
    <definedName name="ARRIENDO">#REF!</definedName>
    <definedName name="CARGO">#REF!</definedName>
    <definedName name="CONTRATOS_CON_PERSONA_JURÍDICAS">#REF!</definedName>
    <definedName name="CUENTAS">#REF!</definedName>
    <definedName name="FORMA_DE_PAGO">#REF!</definedName>
    <definedName name="GASTOS_DE_INVERSION">#REF!</definedName>
    <definedName name="GASTOS_DE_OPERACIÓN">#REF!</definedName>
    <definedName name="Mes_Arriendo">Arriendo!$T$2:$T$4</definedName>
    <definedName name="Mes_Basicos">'Servicios Básicos'!$T$2:$T$9</definedName>
    <definedName name="Mes_juridica">Pers.Juridica!$T$2:$T$8</definedName>
    <definedName name="Mes_Operacion">'Gastos de Operación'!$T$2:$T$39</definedName>
    <definedName name="Mes_Prop.Intelectual" localSheetId="4">'Prop. Intelectual'!$T$2:$T$9</definedName>
    <definedName name="Mes_RRHH">RRHH!$V$2:$V$24</definedName>
    <definedName name="PROPIEDAD_INTELECTUAL">#REF!</definedName>
    <definedName name="RRHH">#REF!</definedName>
    <definedName name="SERVICIOS_BÁSICOS">#REF!</definedName>
    <definedName name="TIPO_DE_DOCUMENTOS_GASTOS">#REF!</definedName>
    <definedName name="TIPO_DE_DOCUMENTOS_RRHH">#REF!</definedName>
    <definedName name="Valor_Rendido_Arriendo">Arriendo!$M$2:$M$4</definedName>
    <definedName name="Valor_Rendido_Basicos">'Servicios Básicos'!$M$2:$M$9</definedName>
    <definedName name="Valor_Rendido_Juridica">Pers.Juridica!$M$2:$M$8</definedName>
    <definedName name="Valor_Rendido_Operacion">'Gastos de Operación'!$M$2:$M$39</definedName>
    <definedName name="Valor_Rendido_Prop.Intelectual" localSheetId="4">'Prop. Intelectual'!$M$2:$M$9</definedName>
    <definedName name="Valor_Rendido_Prop.Intelectual">'Prop. Intelectual'!$M$2:$M$9</definedName>
    <definedName name="Valor_Rendido_RRHH">RRHH!$O$2:$O$2</definedName>
  </definedNames>
  <calcPr calcId="191028"/>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23" i="6" l="1"/>
  <c r="N23" i="6"/>
  <c r="O23" i="6"/>
  <c r="V23" i="6"/>
  <c r="W23" i="6"/>
  <c r="L76" i="11"/>
  <c r="M76" i="11"/>
  <c r="M75" i="11"/>
  <c r="M74" i="11"/>
  <c r="C72" i="11"/>
  <c r="C73" i="11"/>
  <c r="C74" i="11"/>
  <c r="C75" i="11"/>
  <c r="T74" i="11" l="1"/>
  <c r="U74" i="11"/>
  <c r="T75" i="11"/>
  <c r="U75" i="11"/>
  <c r="T76" i="11"/>
  <c r="U76" i="11"/>
  <c r="M9" i="4" l="1"/>
  <c r="T4" i="4"/>
  <c r="U4" i="4"/>
  <c r="T5" i="4"/>
  <c r="U5" i="4"/>
  <c r="T6" i="4"/>
  <c r="U6" i="4"/>
  <c r="T7" i="4"/>
  <c r="U7" i="4"/>
  <c r="T8" i="4"/>
  <c r="U8" i="4"/>
  <c r="T9" i="4"/>
  <c r="U9" i="4"/>
  <c r="T10" i="4"/>
  <c r="U10" i="4"/>
  <c r="M73" i="11" l="1"/>
  <c r="M60" i="11"/>
  <c r="M61" i="11"/>
  <c r="M62" i="11"/>
  <c r="M63" i="11"/>
  <c r="M64" i="11"/>
  <c r="M65" i="11"/>
  <c r="M66" i="11"/>
  <c r="M67" i="11"/>
  <c r="M68" i="11"/>
  <c r="M69" i="11"/>
  <c r="M70" i="11"/>
  <c r="M71" i="11"/>
  <c r="M72" i="11"/>
  <c r="M59" i="11"/>
  <c r="M55" i="11"/>
  <c r="M54" i="11"/>
  <c r="M53" i="11"/>
  <c r="M52" i="11"/>
  <c r="M49" i="11"/>
  <c r="M48" i="11"/>
  <c r="M47" i="11"/>
  <c r="M42" i="11"/>
  <c r="M41" i="11"/>
  <c r="C59" i="11"/>
  <c r="C60" i="11"/>
  <c r="C61" i="11"/>
  <c r="C62" i="11"/>
  <c r="C63" i="11"/>
  <c r="C64" i="11"/>
  <c r="C65" i="11"/>
  <c r="C66" i="11"/>
  <c r="C67" i="11"/>
  <c r="C68" i="11"/>
  <c r="C69" i="11"/>
  <c r="C70" i="11"/>
  <c r="C71" i="11"/>
  <c r="T56" i="11"/>
  <c r="U56" i="11"/>
  <c r="T57" i="11"/>
  <c r="U57" i="11"/>
  <c r="T58" i="11"/>
  <c r="U58" i="11"/>
  <c r="T59" i="11"/>
  <c r="U59" i="11"/>
  <c r="T60" i="11"/>
  <c r="U60" i="11"/>
  <c r="T61" i="11"/>
  <c r="U61" i="11"/>
  <c r="T62" i="11"/>
  <c r="U62" i="11"/>
  <c r="T63" i="11"/>
  <c r="U63" i="11"/>
  <c r="T64" i="11"/>
  <c r="U64" i="11"/>
  <c r="T65" i="11"/>
  <c r="U65" i="11"/>
  <c r="T66" i="11"/>
  <c r="U66" i="11"/>
  <c r="T67" i="11"/>
  <c r="U67" i="11"/>
  <c r="T68" i="11"/>
  <c r="U68" i="11"/>
  <c r="T69" i="11"/>
  <c r="U69" i="11"/>
  <c r="T70" i="11"/>
  <c r="U70" i="11"/>
  <c r="T71" i="11"/>
  <c r="U71" i="11"/>
  <c r="T72" i="11"/>
  <c r="U72" i="11"/>
  <c r="T73" i="11"/>
  <c r="U73" i="11"/>
  <c r="M44" i="11"/>
  <c r="L9" i="5"/>
  <c r="M9" i="5"/>
  <c r="L5" i="12"/>
  <c r="L10" i="4"/>
  <c r="M10" i="4"/>
  <c r="T4" i="5"/>
  <c r="U4" i="5"/>
  <c r="T5" i="5"/>
  <c r="U5" i="5"/>
  <c r="T6" i="5"/>
  <c r="U6" i="5"/>
  <c r="T7" i="5"/>
  <c r="U7" i="5"/>
  <c r="T8" i="5"/>
  <c r="U8" i="5"/>
  <c r="T9" i="5"/>
  <c r="U9" i="5"/>
  <c r="T3" i="11"/>
  <c r="U3" i="11"/>
  <c r="T4" i="11"/>
  <c r="U4" i="11"/>
  <c r="T5" i="11"/>
  <c r="U5" i="11"/>
  <c r="T6" i="11"/>
  <c r="U6" i="11"/>
  <c r="T7" i="11"/>
  <c r="U7" i="11"/>
  <c r="T8" i="11"/>
  <c r="U8" i="11"/>
  <c r="T9" i="11"/>
  <c r="U9" i="11"/>
  <c r="T10" i="11"/>
  <c r="U10" i="11"/>
  <c r="T11" i="11"/>
  <c r="U11" i="11"/>
  <c r="T12" i="11"/>
  <c r="U12" i="11"/>
  <c r="T13" i="11"/>
  <c r="U13" i="11"/>
  <c r="T14" i="11"/>
  <c r="U14" i="11"/>
  <c r="T15" i="11"/>
  <c r="U15" i="11"/>
  <c r="T16" i="11"/>
  <c r="U16" i="11"/>
  <c r="T17" i="11"/>
  <c r="U17" i="11"/>
  <c r="T18" i="11"/>
  <c r="U18" i="11"/>
  <c r="T19" i="11"/>
  <c r="U19" i="11"/>
  <c r="T20" i="11"/>
  <c r="U20" i="11"/>
  <c r="T21" i="11"/>
  <c r="U21" i="11"/>
  <c r="T22" i="11"/>
  <c r="U22" i="11"/>
  <c r="T23" i="11"/>
  <c r="U23" i="11"/>
  <c r="T24" i="11"/>
  <c r="U24" i="11"/>
  <c r="T25" i="11"/>
  <c r="U25" i="11"/>
  <c r="T26" i="11"/>
  <c r="U26" i="11"/>
  <c r="T27" i="11"/>
  <c r="U27" i="11"/>
  <c r="T28" i="11"/>
  <c r="U28" i="11"/>
  <c r="T29" i="11"/>
  <c r="U29" i="11"/>
  <c r="T30" i="11"/>
  <c r="U30" i="11"/>
  <c r="T31" i="11"/>
  <c r="U31" i="11"/>
  <c r="T32" i="11"/>
  <c r="U32" i="11"/>
  <c r="T33" i="11"/>
  <c r="U33" i="11"/>
  <c r="T34" i="11"/>
  <c r="U34" i="11"/>
  <c r="T35" i="11"/>
  <c r="U35" i="11"/>
  <c r="T36" i="11"/>
  <c r="U36" i="11"/>
  <c r="T37" i="11"/>
  <c r="U37" i="11"/>
  <c r="T38" i="11"/>
  <c r="U38" i="11"/>
  <c r="T39" i="11"/>
  <c r="U39" i="11"/>
  <c r="T40" i="11"/>
  <c r="U40" i="11"/>
  <c r="T41" i="11"/>
  <c r="U41" i="11"/>
  <c r="T42" i="11"/>
  <c r="U42" i="11"/>
  <c r="T43" i="11"/>
  <c r="U43" i="11"/>
  <c r="T44" i="11"/>
  <c r="U44" i="11"/>
  <c r="T45" i="11"/>
  <c r="U45" i="11"/>
  <c r="T46" i="11"/>
  <c r="U46" i="11"/>
  <c r="T47" i="11"/>
  <c r="U47" i="11"/>
  <c r="T48" i="11"/>
  <c r="U48" i="11"/>
  <c r="T49" i="11"/>
  <c r="U49" i="11"/>
  <c r="T50" i="11"/>
  <c r="U50" i="11"/>
  <c r="T51" i="11"/>
  <c r="U51" i="11"/>
  <c r="T52" i="11"/>
  <c r="U52" i="11"/>
  <c r="T53" i="11"/>
  <c r="U53" i="11"/>
  <c r="T54" i="11"/>
  <c r="U54" i="11"/>
  <c r="T55" i="11"/>
  <c r="U55" i="11"/>
  <c r="C6" i="5"/>
  <c r="C7" i="5"/>
  <c r="C55" i="11"/>
  <c r="C56" i="11"/>
  <c r="C57" i="11"/>
  <c r="C58" i="11"/>
  <c r="C54" i="11"/>
  <c r="C53" i="11"/>
  <c r="C52" i="11"/>
  <c r="C50" i="11"/>
  <c r="C51" i="11"/>
  <c r="C49" i="11"/>
  <c r="C48" i="11"/>
  <c r="C47" i="11"/>
  <c r="C46" i="11"/>
  <c r="C45" i="11"/>
  <c r="C44" i="11"/>
  <c r="C43" i="11"/>
  <c r="C41" i="11"/>
  <c r="C42" i="11"/>
  <c r="C40" i="11"/>
  <c r="M3" i="12"/>
  <c r="M5" i="12" s="1"/>
  <c r="C4" i="5"/>
  <c r="C5" i="5"/>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P3" i="15"/>
  <c r="P4" i="15"/>
  <c r="P5" i="15"/>
  <c r="P2" i="15"/>
  <c r="T2" i="4" l="1"/>
  <c r="T3" i="4"/>
  <c r="V24" i="6" l="1"/>
  <c r="W24" i="6"/>
  <c r="C2" i="5" l="1"/>
  <c r="D3" i="15" l="1"/>
  <c r="D4" i="15"/>
  <c r="D5" i="15"/>
  <c r="D2" i="15"/>
  <c r="C2" i="4"/>
  <c r="C3" i="12"/>
  <c r="C4" i="12"/>
  <c r="C2" i="12"/>
  <c r="C3" i="16"/>
  <c r="C4" i="16"/>
  <c r="C5" i="16"/>
  <c r="C6" i="16"/>
  <c r="C7" i="16"/>
  <c r="C8" i="16"/>
  <c r="C9" i="16"/>
  <c r="C2" i="16"/>
  <c r="C3" i="5"/>
  <c r="C2" i="11"/>
  <c r="C39" i="11"/>
  <c r="U3" i="4" l="1"/>
  <c r="T2" i="11"/>
  <c r="U2" i="11"/>
  <c r="U2" i="4" l="1"/>
  <c r="T3" i="5" l="1"/>
  <c r="U3" i="5"/>
  <c r="M10" i="16"/>
  <c r="L10" i="16"/>
  <c r="U9" i="16"/>
  <c r="T9" i="16"/>
  <c r="U8" i="16"/>
  <c r="T8" i="16"/>
  <c r="U7" i="16"/>
  <c r="T7" i="16"/>
  <c r="U6" i="16"/>
  <c r="T6" i="16"/>
  <c r="U5" i="16"/>
  <c r="T5" i="16"/>
  <c r="U4" i="16"/>
  <c r="T4" i="16"/>
  <c r="U3" i="16"/>
  <c r="T3" i="16"/>
  <c r="U2" i="16"/>
  <c r="T2" i="16"/>
  <c r="P6" i="15"/>
  <c r="T3" i="12"/>
  <c r="U3" i="12"/>
  <c r="T4" i="12"/>
  <c r="U4" i="12"/>
  <c r="U2" i="12"/>
  <c r="T2" i="12"/>
  <c r="U2" i="5"/>
  <c r="T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tc={0DEE7854-3B5E-4AB0-AE27-6DBD49067A29}</author>
  </authors>
  <commentList>
    <comment ref="J3" authorId="0" shapeId="0" xr:uid="{0DEE7854-3B5E-4AB0-AE27-6DBD49067A29}">
      <text>
        <t>[Threaded comment]
Your version of Excel allows you to read this threaded comment; however, any edits to it will get removed if the file is opened in a newer version of Excel. Learn more: https://go.microsoft.com/fwlink/?linkid=870924
Comment:
    El cp expone un monto menor del total de la factura.
Factura: 8.711.609 ( NETO: 7.320.680)
CP: 6.969.287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Isabel Salinas Aladro</author>
  </authors>
  <commentList>
    <comment ref="M1" authorId="0" shapeId="0" xr:uid="{00000000-0006-0000-0B00-000001000000}">
      <text>
        <r>
          <rPr>
            <b/>
            <sz val="9"/>
            <color indexed="81"/>
            <rFont val="Tahoma"/>
            <family val="2"/>
          </rPr>
          <t xml:space="preserve">Ejemplo: </t>
        </r>
        <r>
          <rPr>
            <sz val="9"/>
            <color indexed="81"/>
            <rFont val="Tahoma"/>
            <family val="2"/>
          </rPr>
          <t xml:space="preserve">
Maq. y Eq. en general, su código es: A)15</t>
        </r>
      </text>
    </comment>
  </commentList>
</comments>
</file>

<file path=xl/sharedStrings.xml><?xml version="1.0" encoding="utf-8"?>
<sst xmlns="http://schemas.openxmlformats.org/spreadsheetml/2006/main" count="854" uniqueCount="243">
  <si>
    <t>RRHH</t>
  </si>
  <si>
    <t>SERVICIOS BÁSICOS</t>
  </si>
  <si>
    <t>PROPIEDAD INTELECTUAL</t>
  </si>
  <si>
    <t>ARRIENDO</t>
  </si>
  <si>
    <t>GASTOS DIRECTOS</t>
  </si>
  <si>
    <t>PERSONA JURÍDICA</t>
  </si>
  <si>
    <t>GASTOS DE INVERSIÓN</t>
  </si>
  <si>
    <t>Código</t>
  </si>
  <si>
    <t>Cuenta</t>
  </si>
  <si>
    <t>Total</t>
  </si>
  <si>
    <t>Ítem</t>
  </si>
  <si>
    <t>Codigo</t>
  </si>
  <si>
    <t>RUT Contribuyente</t>
  </si>
  <si>
    <t>RUT RRHH</t>
  </si>
  <si>
    <t>Nombre del RRHH</t>
  </si>
  <si>
    <t>Tipo documento</t>
  </si>
  <si>
    <t>N° Documento</t>
  </si>
  <si>
    <t>Fecha Emision Documento</t>
  </si>
  <si>
    <t>Fecha de Pago Real</t>
  </si>
  <si>
    <t>Forma de Pago</t>
  </si>
  <si>
    <t>Total Haberes Total Boleta</t>
  </si>
  <si>
    <t>Total de horas contratadas.</t>
  </si>
  <si>
    <t xml:space="preserve">Horas dedicadas al proyecto </t>
  </si>
  <si>
    <t>Valor Rendido al Proyecto</t>
  </si>
  <si>
    <t>Glosa/Justificación</t>
  </si>
  <si>
    <t>Mes</t>
  </si>
  <si>
    <t>Año</t>
  </si>
  <si>
    <t/>
  </si>
  <si>
    <t>RUT Proveedor</t>
  </si>
  <si>
    <t>Nombre Proveedor o Razón Social</t>
  </si>
  <si>
    <t>Fecha Emisión Documento</t>
  </si>
  <si>
    <t>Fecha Pago Real</t>
  </si>
  <si>
    <t>Monto Total Documento (V. Neto)</t>
  </si>
  <si>
    <t>Glosa / Justificación</t>
  </si>
  <si>
    <t>Nombre del Activo</t>
  </si>
  <si>
    <t>N° de Documento</t>
  </si>
  <si>
    <t>Fecha de Activación</t>
  </si>
  <si>
    <t>Monto total activado</t>
  </si>
  <si>
    <t>Cod. Vida útil en tabla del SII</t>
  </si>
  <si>
    <t>Años vida útil del activo</t>
  </si>
  <si>
    <t>Meses a Depreciar Periodo de Rendición</t>
  </si>
  <si>
    <t>Monto a Depreciar Periodo de Rendición</t>
  </si>
  <si>
    <t>Código del proyecto en que fue activado</t>
  </si>
  <si>
    <t>Cuotas utilizadas antes de la actual rendición</t>
  </si>
  <si>
    <t>ANTES DE EMPEZAR</t>
  </si>
  <si>
    <t>Matriz_IPC</t>
  </si>
  <si>
    <t>Fisc_Final</t>
  </si>
  <si>
    <t>Resumen</t>
  </si>
  <si>
    <t>Disponible</t>
  </si>
  <si>
    <t xml:space="preserve">Comprobante de pago </t>
  </si>
  <si>
    <t>Documento Tributario</t>
  </si>
  <si>
    <t>Cuadro de activación</t>
  </si>
  <si>
    <t>Confirmar que esté completa la información del año a fiscalizar</t>
  </si>
  <si>
    <t>Confirmar que el año esté haciendo referencia al año de los gastos a fiscalizar.</t>
  </si>
  <si>
    <t>Asegurar que la información del cliente y del proyecto.</t>
  </si>
  <si>
    <t>Asegurar que la suma de las cuentas corresponda al monto fiscalizado.</t>
  </si>
  <si>
    <t xml:space="preserve">Completar la información del disponible en base a lo certificado/modificado, según corresponda. </t>
  </si>
  <si>
    <t>Observaciones</t>
  </si>
  <si>
    <t>GLOSA</t>
  </si>
  <si>
    <t>TIPO DOCUMENTO</t>
  </si>
  <si>
    <t>FECHA PAGO REAL</t>
  </si>
  <si>
    <t>Facturas emitidas por la entidad que prestó el servicio.</t>
  </si>
  <si>
    <r>
      <t xml:space="preserve">TIPS DE INGRESO DE INFORMACIÓN (ELIMINAR ANTES DE ENVIAR A CLIENTE)
Protección de la Propiedad Industrial, Intelectual o de Obtentores de nuevas variedades vegetales: </t>
    </r>
    <r>
      <rPr>
        <sz val="11"/>
        <color theme="1"/>
        <rFont val="Calibri"/>
        <family val="2"/>
        <scheme val="minor"/>
      </rPr>
      <t>Corresponde a todos los gastos incurridos en la constitución de derechos de propiedad industrial al amparo de la ley N° 19.039; de derechos de propiedad intelectual al amparo de la ley N°17.366, y de derechos de protección sobre nuevas variedades vegetales al amparo de la ley N°19.342, como resultado del proyecto de I+D.</t>
    </r>
  </si>
  <si>
    <t>Fecha indicada por el comprobantes de pago de las tasas y derechos asociados con patentes, marcas, diseños industriales, servicios de asesoría, estudios de patentabilidad, informes periciales, entre otros (tales como transferencias bancarias, cheques u otros documentos que respalden las transacciones realizadas). En el caso de pago con nómina (que en un pagó se haya incluido más de una factura, se debe contar con el detalle de todas las facturas asociadas a este pago, independiente si corresponden o no al proyecto).</t>
  </si>
  <si>
    <t>EQUIPAMIENTO</t>
  </si>
  <si>
    <t>INFRAESTRUCTURA</t>
  </si>
  <si>
    <t>Facturas de Adquisición: Que reflejen la compra de activos como maquinaria o equipos.</t>
  </si>
  <si>
    <t>DEPRECIACIÓN</t>
  </si>
  <si>
    <t>Documentación Contable: Que registre la incorporación del activo en el patrimonio de la empresa.
Cálculo de la Depreciación: Detalles del cálculo de la depreciación del activo.</t>
  </si>
  <si>
    <t>Cálculo de la Depreciación: Detalles del cálculo de la depreciación del activo.</t>
  </si>
  <si>
    <t>Contratos de Construcción: Detallando las condiciones de la obra, materiales, plazos y costos, firmados por las partes involucradas.
Facturas: Por la compra de materiales y servicios relacionados.</t>
  </si>
  <si>
    <t>Se debe actualizar la lista desplegable desde el disponible. Considerar: DATOS&gt;VALIDACIÓN DE DATOS&gt;PERMITIR: LISTA</t>
  </si>
  <si>
    <t>ÍTEM</t>
  </si>
  <si>
    <t>ÍTEM / NOMBRE DEL ACTIVO</t>
  </si>
  <si>
    <t>OK</t>
  </si>
  <si>
    <t>CON OBSERVACIONES</t>
  </si>
  <si>
    <t>IMPORTANTE</t>
  </si>
  <si>
    <t>Las columnas T y U hacen referencia al mes y año del gasto. SIEMPRE deben estar configuradas</t>
  </si>
  <si>
    <t xml:space="preserve">RUT Proveedor </t>
  </si>
  <si>
    <t>En el caso de que proveedor sea internacional, completar con 999999999</t>
  </si>
  <si>
    <r>
      <t xml:space="preserve">TIPS DE INGRESO DE INFORMACIÓN (ELIMINAR ANTES DE ENVIAR A CLIENTE)
Gastos en bienes físicos del Activo Inmovilizado
Adquisición y fabricación de equipos e instrumental: </t>
    </r>
    <r>
      <rPr>
        <sz val="11"/>
        <color theme="1"/>
        <rFont val="Calibri"/>
        <family val="2"/>
        <scheme val="minor"/>
      </rPr>
      <t xml:space="preserve">Corresponde gastos incurridos en la adquisición o fabricación de equipos e instrumental requerido para la ejecución de un proyecto.
</t>
    </r>
    <r>
      <rPr>
        <b/>
        <sz val="11"/>
        <color rgb="FFFFFF00"/>
        <rFont val="Calibri"/>
        <family val="2"/>
        <scheme val="minor"/>
      </rPr>
      <t>Se incluyen gastos de seguros, traslado e internación, y todos los accesorios necesarios para el funcionamiento y puesta en marcha de los activos señalados.</t>
    </r>
    <r>
      <rPr>
        <sz val="11"/>
        <color theme="1"/>
        <rFont val="Calibri"/>
        <family val="2"/>
        <scheme val="minor"/>
      </rPr>
      <t xml:space="preserve">
</t>
    </r>
    <r>
      <rPr>
        <b/>
        <sz val="11"/>
        <color theme="1"/>
        <rFont val="Calibri"/>
        <family val="2"/>
        <scheme val="minor"/>
      </rPr>
      <t>Edificación e Infraestructura, adquisición o compra de inmuebles:</t>
    </r>
    <r>
      <rPr>
        <sz val="11"/>
        <color theme="1"/>
        <rFont val="Calibri"/>
        <family val="2"/>
        <scheme val="minor"/>
      </rPr>
      <t xml:space="preserve"> Corresponde a desembolsos asociados a la inversión en edificación e infraestructura y aquellas inversiones para la adquisición o compra de inmuebles requeridos para la ejecución de un proyecto, tales como:
▪Construcción de laboratorios, edificios, plantas pilotos, talleres, bodegas, adecuación de infraestructuras, entre otros de similar naturaleza.
▪Adquisición o compra de inmuebles, tales como laboratorios, talleres, bodegas, edificios, entre otros de similar naturaleza.
▪Otros de similar naturaleza, necesarios y relacionados directamente con la ejecución del proyecto.
</t>
    </r>
  </si>
  <si>
    <t xml:space="preserve">Revisar siempre que la glosa se encuentre en una sola línea y no contenga comas. Para separar elementos utilizar un guion. </t>
  </si>
  <si>
    <t>EJEMPLOS:
Materiales de laboratorio, vidrio -&gt; DEBE DECIR: Materiales de laboratorio - vidrio
Materiales
de                            -&gt; DEBE DECIR: Materiales de laboratorio
Laboratorio</t>
  </si>
  <si>
    <r>
      <t>Cuando una inversión se realiza en más de una factura, debe tener un tratamiento especial la presentación en sistema (debe ir consolidado en una sola línea).</t>
    </r>
    <r>
      <rPr>
        <b/>
        <sz val="11"/>
        <color theme="1"/>
        <rFont val="Calibri"/>
        <family val="2"/>
        <scheme val="minor"/>
      </rPr>
      <t xml:space="preserve"> Coordinar con Sol la explicación. </t>
    </r>
  </si>
  <si>
    <t xml:space="preserve"> </t>
  </si>
  <si>
    <t>Director</t>
  </si>
  <si>
    <t>Investigador</t>
  </si>
  <si>
    <t>Fertilizantes</t>
  </si>
  <si>
    <t>Materiales e Insumos</t>
  </si>
  <si>
    <t>Materiales de riego</t>
  </si>
  <si>
    <t>Almácigos e injertos</t>
  </si>
  <si>
    <t>Materiales de laboratorio</t>
  </si>
  <si>
    <t xml:space="preserve">Equipos de medición </t>
  </si>
  <si>
    <t>Viáticos y Estadías</t>
  </si>
  <si>
    <t>EPP (Equipo de protección personal)</t>
  </si>
  <si>
    <t>Fletes</t>
  </si>
  <si>
    <t>Combustible</t>
  </si>
  <si>
    <t>Papelería</t>
  </si>
  <si>
    <t>Arriendo de colmenas</t>
  </si>
  <si>
    <t>Gastos de servicios básicos</t>
  </si>
  <si>
    <t>Factura</t>
  </si>
  <si>
    <t>Transferencia electrónica</t>
  </si>
  <si>
    <t>LIQ. SUELDO</t>
  </si>
  <si>
    <t>Facturas</t>
  </si>
  <si>
    <t>Bellis</t>
  </si>
  <si>
    <t>Coragen</t>
  </si>
  <si>
    <t>Cantus</t>
  </si>
  <si>
    <t>Muralla Delta 190</t>
  </si>
  <si>
    <t>Centurion Super</t>
  </si>
  <si>
    <t>Intrepid (1Lt) DW</t>
  </si>
  <si>
    <t>Herbadox 455 SC</t>
  </si>
  <si>
    <t>Amistar Opti</t>
  </si>
  <si>
    <t>Tsunami 100</t>
  </si>
  <si>
    <t>Priori Xtra</t>
  </si>
  <si>
    <t>GUANO DE VACUNO</t>
  </si>
  <si>
    <t>Guano rojo fosil (polvo)</t>
  </si>
  <si>
    <t>H.D.S (Harina de Sangre)</t>
  </si>
  <si>
    <t>POLIET AG MUL BN 120/UL * 1000M (ROLLOS)</t>
  </si>
  <si>
    <t>STRM X 16050 1.10L/H 0.20M 3200 MTS Cinta riego</t>
  </si>
  <si>
    <t>STRM X 16050 1.10L/H 0.20M 3200 MTS</t>
  </si>
  <si>
    <t>Materiales Mantencion Construccion</t>
  </si>
  <si>
    <t>MANTO TERMICO 17G 1.4 x 1000MTS RI</t>
  </si>
  <si>
    <t>Servicio de produccion almacigos</t>
  </si>
  <si>
    <t>Materiales Laboratorio</t>
  </si>
  <si>
    <t>Guante Quirurgico en Caja</t>
  </si>
  <si>
    <t>GUANTE NINJA REBEL (Unids)</t>
  </si>
  <si>
    <t>Fletes Nacionales</t>
  </si>
  <si>
    <t>CINTA DE TERMOTRANSFERENCIA 110x74 MTS</t>
  </si>
  <si>
    <t>Papeleria y Utiles de Oficina</t>
  </si>
  <si>
    <t>Rollos de Etiquetas 100 X 70 mm</t>
  </si>
  <si>
    <t xml:space="preserve">Traslado de Personal/Lechuga, cosecha </t>
  </si>
  <si>
    <t>Colmenas para polinizacione en arriendo</t>
  </si>
  <si>
    <t>Gas Procesos Planta</t>
  </si>
  <si>
    <t>Energia Electrica</t>
  </si>
  <si>
    <t>Antiafido</t>
  </si>
  <si>
    <t xml:space="preserve">Cinta gareta </t>
  </si>
  <si>
    <t>Nitrato potasio, magnesio,sulfato potasio</t>
  </si>
  <si>
    <t>Monofilamento raschel</t>
  </si>
  <si>
    <t>Turba XL</t>
  </si>
  <si>
    <t>Reactivos</t>
  </si>
  <si>
    <t>Tensiometro</t>
  </si>
  <si>
    <t>Transmisor temperatura,gateway lorawan</t>
  </si>
  <si>
    <t>tensiometros</t>
  </si>
  <si>
    <t>Servicios adicionales y propina asociada a la ODC 33087, por actividad A</t>
  </si>
  <si>
    <t>Productos de pretección</t>
  </si>
  <si>
    <t>Medidor ORP ozono</t>
  </si>
  <si>
    <t>Lentes,guantes,gorros,botiquin</t>
  </si>
  <si>
    <t>Lentes, guantes, botas</t>
  </si>
  <si>
    <t>Guantes, cubre calzado</t>
  </si>
  <si>
    <t>Traslado de guano</t>
  </si>
  <si>
    <t>Traslado de material</t>
  </si>
  <si>
    <t>Insumos de oficina</t>
  </si>
  <si>
    <t>Análisis nematológico</t>
  </si>
  <si>
    <t>Analisis de suelo</t>
  </si>
  <si>
    <t>Gas</t>
  </si>
  <si>
    <t>Energia electrica junio</t>
  </si>
  <si>
    <t>Gas domestico</t>
  </si>
  <si>
    <t xml:space="preserve"> plantas de envidia ($15c/u). 428744 plantas de lechuga ($15c/u). 14</t>
  </si>
  <si>
    <t>372</t>
  </si>
  <si>
    <t>Mastercop X 1 LT - Comet X 1 LT</t>
  </si>
  <si>
    <t xml:space="preserve">Fletes traslado de de semillas </t>
  </si>
  <si>
    <t>Fertilizante Retain (830 GRS) ST</t>
  </si>
  <si>
    <t>Sensor de humedad de suelo (volumétrica) y conductividad eléctrica con conectividad LoRaWAN. Transmisor de temperatura y humedad LoRaWAN con datalogger</t>
  </si>
  <si>
    <t>Agroquimicos*F5158</t>
  </si>
  <si>
    <t>Ultrasol inicial 25 KG SQM. Ultrasol crecimiento 25 KG  SQM. Nitrato de K Soluble 25 KG</t>
  </si>
  <si>
    <t>Mezcla hortaliza 10-21-21 + MIC 25 KG</t>
  </si>
  <si>
    <t>Materiales laboratorio</t>
  </si>
  <si>
    <t>MZ 102021 25KG - FERTILIZANTES (B) - MEZCLAS</t>
  </si>
  <si>
    <t>M CU 90X90X40 -IMP TC/FD. M CU 90X90X60 - IMP TC/FD. MM CU 90X90X100 - IMP - TC/FD</t>
  </si>
  <si>
    <t>Cinta Gareta Blanca en Bobinas de 2 Kg (Bolsa 12 kg)</t>
  </si>
  <si>
    <t>Guante ninja rebel 9, Guante ninja rebel 8, lentes steelpro spy-flex plus antifog gris</t>
  </si>
  <si>
    <t>botines, guantes, overoles</t>
  </si>
  <si>
    <t>Consumo energia planta fotovoltaica Los Romos Julio</t>
  </si>
  <si>
    <t>LIQUIDACIÓN NOVIEMBRE</t>
  </si>
  <si>
    <t>LIQUIDACIÓN DICIEMBRE</t>
  </si>
  <si>
    <t>Liquidacion</t>
  </si>
  <si>
    <t>Técnico</t>
  </si>
  <si>
    <t>Pedro Papas</t>
  </si>
  <si>
    <t>Juan Fuentes</t>
  </si>
  <si>
    <t>Maria la del barrio</t>
  </si>
  <si>
    <t>Antonio Caracas</t>
  </si>
  <si>
    <t>Jose Perez</t>
  </si>
  <si>
    <t>Paquita la del barrio</t>
  </si>
  <si>
    <t>12345678A</t>
  </si>
  <si>
    <t>12345678B</t>
  </si>
  <si>
    <t>12345678C</t>
  </si>
  <si>
    <t>12345678D</t>
  </si>
  <si>
    <t>12345678E</t>
  </si>
  <si>
    <t>12345678F</t>
  </si>
  <si>
    <t>PWC</t>
  </si>
  <si>
    <t xml:space="preserve">CocaCola </t>
  </si>
  <si>
    <t>Vaqueritos</t>
  </si>
  <si>
    <t>Pepsi</t>
  </si>
  <si>
    <t>Lays</t>
  </si>
  <si>
    <t>Sgs</t>
  </si>
  <si>
    <t>Etb</t>
  </si>
  <si>
    <t>Deloit</t>
  </si>
  <si>
    <t>SalmonesPro</t>
  </si>
  <si>
    <t>Khua</t>
  </si>
  <si>
    <t>KhuaS.A.</t>
  </si>
  <si>
    <t>RHJA</t>
  </si>
  <si>
    <t>Cerreros</t>
  </si>
  <si>
    <t>TataMotors</t>
  </si>
  <si>
    <t>ExcelPro</t>
  </si>
  <si>
    <t>AcerosPros</t>
  </si>
  <si>
    <t>D1</t>
  </si>
  <si>
    <t>Ara</t>
  </si>
  <si>
    <t>Caruya</t>
  </si>
  <si>
    <t>AndresCarnes</t>
  </si>
  <si>
    <t>FalcaoCorp</t>
  </si>
  <si>
    <t>AntonioCorp</t>
  </si>
  <si>
    <t>AntoniaCorp</t>
  </si>
  <si>
    <t>DimePro</t>
  </si>
  <si>
    <t>Puravida</t>
  </si>
  <si>
    <t>Delipollo</t>
  </si>
  <si>
    <t>AgroYa</t>
  </si>
  <si>
    <t>Kemist</t>
  </si>
  <si>
    <t>BetoCorp</t>
  </si>
  <si>
    <t>Panelias</t>
  </si>
  <si>
    <t>Hilton</t>
  </si>
  <si>
    <t>Nopro</t>
  </si>
  <si>
    <t>Track</t>
  </si>
  <si>
    <t>AngelCorp</t>
  </si>
  <si>
    <t>ManuelCorp</t>
  </si>
  <si>
    <t>Despacio</t>
  </si>
  <si>
    <t>Copetran</t>
  </si>
  <si>
    <t>Nucita</t>
  </si>
  <si>
    <t>Totto</t>
  </si>
  <si>
    <t>Nopep</t>
  </si>
  <si>
    <t>MariaCorp</t>
  </si>
  <si>
    <t>73377837K</t>
  </si>
  <si>
    <t>77373777K</t>
  </si>
  <si>
    <t>77373777k</t>
  </si>
  <si>
    <t>77739787K</t>
  </si>
  <si>
    <t>37878773K</t>
  </si>
  <si>
    <t>Subcontrato1</t>
  </si>
  <si>
    <t>Subcontrato2</t>
  </si>
  <si>
    <t>Chichilele</t>
  </si>
  <si>
    <t>Javerianos</t>
  </si>
  <si>
    <t>Comeba</t>
  </si>
  <si>
    <t>13101850K</t>
  </si>
  <si>
    <t>Morat Gas</t>
  </si>
  <si>
    <t>Cabas Luz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</si>
</sst>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 #,##0_-;_-* &quot;-&quot;_-;_-@_-"/>
    <numFmt numFmtId="43" formatCode="_-* #,##0.00_-;\-* #,##0.00_-;_-* &quot;-&quot;??_-;_-@_-"/>
    <numFmt numFmtId="164" formatCode="_-&quot;$&quot;\ * #,##0.00_-;\-&quot;$&quot;\ * #,##0.00_-;_-&quot;$&quot;\ * &quot;-&quot;??_-;_-@_-"/>
    <numFmt numFmtId="165" formatCode="_ * #,##0_ ;_ * \-#,##0_ ;_ * &quot;-&quot;_ ;_ @_ "/>
    <numFmt numFmtId="166" formatCode="_-* #,##0.00\ _€_-;\-* #,##0.00\ _€_-;_-* &quot;-&quot;??\ _€_-;_-@_-"/>
    <numFmt numFmtId="167" formatCode="_-[$€-2]* #,##0.00_-;\-[$€-2]* #,##0.00_-;_-[$€-2]* &quot;-&quot;??_-"/>
    <numFmt numFmtId="168" formatCode="#,##0\ ;[Red]\(#,##0\)\ "/>
    <numFmt numFmtId="169" formatCode="&quot;$&quot;#,##0"/>
    <numFmt numFmtId="177" formatCode="dd/mm/yyyy;@"/>
    <numFmt numFmtId="180" formatCode="_-* #,##0_-;\-* #,##0_-;_-* &quot;-&quot;_-;_-@_-"/>
    <numFmt numFmtId="181" formatCode="_-* #,##0.00_-;\-* #,##0.00_-;_-* &quot;-&quot;??_-;_-@_-"/>
  </numFmts>
  <fonts count="38">
    <font>
      <sz val="11"/>
      <color theme="1"/>
      <name val="Calibri"/>
      <family val="2"/>
      <scheme val="minor"/>
    </font>
    <font>
      <sz val="11"/>
      <color indexed="8"/>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5"/>
      <color indexed="56"/>
      <name val="Calibri"/>
      <family val="2"/>
    </font>
    <font>
      <b/>
      <sz val="11"/>
      <color indexed="56"/>
      <name val="Calibri"/>
      <family val="2"/>
    </font>
    <font>
      <sz val="11"/>
      <color indexed="62"/>
      <name val="Calibri"/>
      <family val="2"/>
    </font>
    <font>
      <b/>
      <sz val="11"/>
      <color indexed="63"/>
      <name val="Calibri"/>
      <family val="2"/>
    </font>
    <font>
      <sz val="11"/>
      <color indexed="10"/>
      <name val="Calibri"/>
      <family val="2"/>
    </font>
    <font>
      <sz val="10"/>
      <name val="Arial"/>
      <family val="2"/>
    </font>
    <font>
      <sz val="10"/>
      <name val="MS Sans"/>
    </font>
    <font>
      <sz val="11"/>
      <color theme="1"/>
      <name val="Calibri"/>
      <family val="2"/>
      <scheme val="minor"/>
    </font>
    <font>
      <sz val="11"/>
      <color theme="0"/>
      <name val="Calibri"/>
      <family val="2"/>
      <scheme val="minor"/>
    </font>
    <font>
      <b/>
      <sz val="11"/>
      <color rgb="FFFA7D00"/>
      <name val="Calibri"/>
      <family val="2"/>
      <scheme val="minor"/>
    </font>
    <font>
      <b/>
      <sz val="11"/>
      <color theme="0"/>
      <name val="Calibri"/>
      <family val="2"/>
      <scheme val="minor"/>
    </font>
    <font>
      <b/>
      <sz val="11"/>
      <color theme="3"/>
      <name val="Calibri"/>
      <family val="2"/>
      <scheme val="minor"/>
    </font>
    <font>
      <u/>
      <sz val="11"/>
      <color theme="10"/>
      <name val="Calibri"/>
      <family val="2"/>
      <scheme val="minor"/>
    </font>
    <font>
      <u/>
      <sz val="11"/>
      <color theme="10"/>
      <name val="Calibri"/>
      <family val="2"/>
    </font>
    <font>
      <sz val="11"/>
      <color rgb="FF9C0006"/>
      <name val="Calibri"/>
      <family val="2"/>
      <scheme val="minor"/>
    </font>
    <font>
      <sz val="11"/>
      <color rgb="FF9C6500"/>
      <name val="Calibri"/>
      <family val="2"/>
      <scheme val="minor"/>
    </font>
    <font>
      <b/>
      <sz val="11"/>
      <color rgb="FF3F3F3F"/>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0"/>
      <color theme="1"/>
      <name val="Calibri"/>
      <family val="2"/>
    </font>
    <font>
      <sz val="10"/>
      <name val="Calibri"/>
      <family val="2"/>
      <scheme val="minor"/>
    </font>
    <font>
      <b/>
      <sz val="10"/>
      <color theme="0"/>
      <name val="Calibri"/>
      <family val="2"/>
      <scheme val="minor"/>
    </font>
    <font>
      <b/>
      <sz val="9"/>
      <color indexed="81"/>
      <name val="Tahoma"/>
      <family val="2"/>
    </font>
    <font>
      <sz val="9"/>
      <color indexed="81"/>
      <name val="Tahoma"/>
      <family val="2"/>
    </font>
    <font>
      <sz val="10"/>
      <name val="Arial"/>
      <family val="2"/>
    </font>
    <font>
      <sz val="8"/>
      <name val="Calibri"/>
      <family val="2"/>
      <scheme val="minor"/>
    </font>
    <font>
      <b/>
      <sz val="11"/>
      <color rgb="FFFFFF00"/>
      <name val="Calibri"/>
      <family val="2"/>
      <scheme val="minor"/>
    </font>
    <font>
      <sz val="10"/>
      <color rgb="FFFF0000"/>
      <name val="Calibri"/>
      <family val="2"/>
      <scheme val="minor"/>
    </font>
  </fonts>
  <fills count="46">
    <fill>
      <patternFill patternType="none"/>
    </fill>
    <fill>
      <patternFill patternType="gray125"/>
    </fill>
    <fill>
      <patternFill patternType="solid">
        <fgColor indexed="42"/>
      </patternFill>
    </fill>
    <fill>
      <patternFill patternType="solid">
        <fgColor indexed="47"/>
      </patternFill>
    </fill>
    <fill>
      <patternFill patternType="solid">
        <fgColor indexed="22"/>
      </patternFill>
    </fill>
    <fill>
      <patternFill patternType="solid">
        <fgColor indexed="55"/>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9" tint="0.59999389629810485"/>
        <bgColor indexed="64"/>
      </patternFill>
    </fill>
    <fill>
      <patternFill patternType="solid">
        <fgColor rgb="FF0000A4"/>
        <bgColor indexed="64"/>
      </patternFill>
    </fill>
    <fill>
      <patternFill patternType="solid">
        <fgColor rgb="FFEFAC14"/>
        <bgColor indexed="64"/>
      </patternFill>
    </fill>
    <fill>
      <patternFill patternType="solid">
        <fgColor rgb="FF00AEFF"/>
        <bgColor indexed="64"/>
      </patternFill>
    </fill>
    <fill>
      <patternFill patternType="solid">
        <fgColor rgb="FFD1D1FF"/>
        <bgColor indexed="64"/>
      </patternFill>
    </fill>
    <fill>
      <patternFill patternType="solid">
        <fgColor rgb="FF75B44A"/>
        <bgColor indexed="64"/>
      </patternFill>
    </fill>
    <fill>
      <patternFill patternType="solid">
        <fgColor rgb="FFBFDDAB"/>
        <bgColor indexed="64"/>
      </patternFill>
    </fill>
    <fill>
      <patternFill patternType="solid">
        <fgColor rgb="FFF7D791"/>
        <bgColor indexed="64"/>
      </patternFill>
    </fill>
    <fill>
      <patternFill patternType="solid">
        <fgColor rgb="FFAD0274"/>
        <bgColor indexed="64"/>
      </patternFill>
    </fill>
    <fill>
      <patternFill patternType="solid">
        <fgColor rgb="FFFEA8E1"/>
        <bgColor indexed="64"/>
      </patternFill>
    </fill>
    <fill>
      <patternFill patternType="solid">
        <fgColor rgb="FFB9E9FF"/>
        <bgColor indexed="64"/>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
      <left style="thin">
        <color theme="4" tint="0.59996337778862885"/>
      </left>
      <right/>
      <top style="thin">
        <color theme="4" tint="0.59996337778862885"/>
      </top>
      <bottom style="thin">
        <color theme="4" tint="0.59996337778862885"/>
      </bottom>
      <diagonal/>
    </border>
    <border>
      <left style="thin">
        <color theme="4" tint="0.59996337778862885"/>
      </left>
      <right style="thin">
        <color theme="4" tint="0.59996337778862885"/>
      </right>
      <top style="thin">
        <color theme="4" tint="0.59996337778862885"/>
      </top>
      <bottom/>
      <diagonal/>
    </border>
    <border>
      <left style="thin">
        <color theme="4" tint="0.59996337778862885"/>
      </left>
      <right/>
      <top style="thin">
        <color theme="4" tint="0.59996337778862885"/>
      </top>
      <bottom/>
      <diagonal/>
    </border>
  </borders>
  <cellStyleXfs count="123">
    <xf numFmtId="0" fontId="0" fillId="0" borderId="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167" fontId="3" fillId="4" borderId="1" applyNumberFormat="0" applyAlignment="0" applyProtection="0"/>
    <xf numFmtId="167" fontId="3" fillId="4" borderId="1" applyNumberFormat="0" applyAlignment="0" applyProtection="0"/>
    <xf numFmtId="0" fontId="15" fillId="25" borderId="7" applyNumberFormat="0" applyAlignment="0" applyProtection="0"/>
    <xf numFmtId="167" fontId="4" fillId="5" borderId="2" applyNumberFormat="0" applyAlignment="0" applyProtection="0"/>
    <xf numFmtId="0" fontId="14"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30" borderId="0" applyNumberFormat="0" applyBorder="0" applyAlignment="0" applyProtection="0"/>
    <xf numFmtId="0" fontId="14" fillId="31" borderId="0" applyNumberFormat="0" applyBorder="0" applyAlignment="0" applyProtection="0"/>
    <xf numFmtId="167" fontId="11" fillId="0" borderId="0" applyFont="0" applyFill="0" applyBorder="0" applyAlignment="0" applyProtection="0"/>
    <xf numFmtId="167" fontId="2" fillId="2" borderId="0" applyNumberFormat="0" applyBorder="0" applyAlignment="0" applyProtection="0"/>
    <xf numFmtId="167" fontId="6" fillId="0" borderId="4" applyNumberFormat="0" applyFill="0" applyAlignment="0" applyProtection="0"/>
    <xf numFmtId="167" fontId="7" fillId="0" borderId="0" applyNumberFormat="0" applyFill="0" applyBorder="0" applyAlignment="0" applyProtection="0"/>
    <xf numFmtId="0" fontId="19" fillId="0" borderId="0" applyNumberFormat="0" applyFill="0" applyBorder="0" applyAlignment="0" applyProtection="0">
      <alignment vertical="top"/>
      <protection locked="0"/>
    </xf>
    <xf numFmtId="0" fontId="18" fillId="0" borderId="0" applyNumberFormat="0" applyFill="0" applyBorder="0" applyAlignment="0" applyProtection="0"/>
    <xf numFmtId="0" fontId="19" fillId="0" borderId="0" applyNumberFormat="0" applyFill="0" applyBorder="0" applyAlignment="0" applyProtection="0">
      <alignment vertical="top"/>
      <protection locked="0"/>
    </xf>
    <xf numFmtId="0" fontId="20" fillId="32" borderId="0" applyNumberFormat="0" applyBorder="0" applyAlignment="0" applyProtection="0"/>
    <xf numFmtId="167" fontId="8" fillId="3" borderId="1" applyNumberFormat="0" applyAlignment="0" applyProtection="0"/>
    <xf numFmtId="167" fontId="8" fillId="3" borderId="1" applyNumberFormat="0" applyAlignment="0" applyProtection="0"/>
    <xf numFmtId="167" fontId="8" fillId="3" borderId="1" applyNumberFormat="0" applyAlignment="0" applyProtection="0"/>
    <xf numFmtId="167" fontId="5" fillId="0" borderId="3" applyNumberFormat="0" applyFill="0" applyAlignment="0" applyProtection="0"/>
    <xf numFmtId="43" fontId="13" fillId="0" borderId="0" applyFont="0" applyFill="0" applyBorder="0" applyAlignment="0" applyProtection="0"/>
    <xf numFmtId="41"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4" fontId="13" fillId="0" borderId="0" applyFont="0" applyFill="0" applyBorder="0" applyAlignment="0" applyProtection="0"/>
    <xf numFmtId="0" fontId="21" fillId="33" borderId="0" applyNumberFormat="0" applyBorder="0" applyAlignment="0" applyProtection="0"/>
    <xf numFmtId="0" fontId="13" fillId="0" borderId="0"/>
    <xf numFmtId="0" fontId="13" fillId="0" borderId="0"/>
    <xf numFmtId="167" fontId="13" fillId="0" borderId="0"/>
    <xf numFmtId="167" fontId="11" fillId="0" borderId="0"/>
    <xf numFmtId="167" fontId="11" fillId="0" borderId="0"/>
    <xf numFmtId="0" fontId="13" fillId="0" borderId="0"/>
    <xf numFmtId="0" fontId="13" fillId="0" borderId="0"/>
    <xf numFmtId="167" fontId="1" fillId="0" borderId="0"/>
    <xf numFmtId="0" fontId="11" fillId="0" borderId="0"/>
    <xf numFmtId="168" fontId="12" fillId="0" borderId="0"/>
    <xf numFmtId="167" fontId="1" fillId="6" borderId="5" applyNumberFormat="0" applyFont="0" applyAlignment="0" applyProtection="0"/>
    <xf numFmtId="167" fontId="1" fillId="6" borderId="5" applyNumberFormat="0" applyFont="0" applyAlignment="0" applyProtection="0"/>
    <xf numFmtId="167" fontId="1" fillId="6" borderId="5" applyNumberFormat="0" applyFont="0" applyAlignment="0" applyProtection="0"/>
    <xf numFmtId="167" fontId="9" fillId="4" borderId="6" applyNumberFormat="0" applyAlignment="0" applyProtection="0"/>
    <xf numFmtId="167" fontId="9" fillId="4" borderId="6" applyNumberFormat="0" applyAlignment="0" applyProtection="0"/>
    <xf numFmtId="9" fontId="13" fillId="0" borderId="0" applyFont="0" applyFill="0" applyBorder="0" applyAlignment="0" applyProtection="0"/>
    <xf numFmtId="9" fontId="11" fillId="0" borderId="0" applyFont="0" applyFill="0" applyBorder="0" applyAlignment="0" applyProtection="0"/>
    <xf numFmtId="0" fontId="22" fillId="25" borderId="8" applyNumberFormat="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5" fillId="0" borderId="9" applyNumberFormat="0" applyFill="0" applyAlignment="0" applyProtection="0"/>
    <xf numFmtId="0" fontId="17" fillId="0" borderId="10" applyNumberFormat="0" applyFill="0" applyAlignment="0" applyProtection="0"/>
    <xf numFmtId="0" fontId="26" fillId="0" borderId="11" applyNumberFormat="0" applyFill="0" applyAlignment="0" applyProtection="0"/>
    <xf numFmtId="167" fontId="10" fillId="0" borderId="0" applyNumberFormat="0" applyFill="0" applyBorder="0" applyAlignment="0" applyProtection="0"/>
    <xf numFmtId="0" fontId="34" fillId="0" borderId="0"/>
    <xf numFmtId="0" fontId="34" fillId="0" borderId="0"/>
    <xf numFmtId="166" fontId="13" fillId="0" borderId="0" applyFont="0" applyFill="0" applyBorder="0" applyAlignment="0" applyProtection="0"/>
    <xf numFmtId="0" fontId="18" fillId="0" borderId="0" applyNumberFormat="0" applyFill="0" applyBorder="0" applyAlignment="0" applyProtection="0"/>
    <xf numFmtId="165" fontId="13" fillId="0" borderId="0" applyFont="0" applyFill="0" applyBorder="0" applyAlignment="0" applyProtection="0"/>
    <xf numFmtId="166"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1"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0" fontId="11" fillId="0" borderId="0"/>
    <xf numFmtId="0" fontId="11" fillId="0" borderId="0"/>
  </cellStyleXfs>
  <cellXfs count="113">
    <xf numFmtId="0" fontId="0" fillId="0" borderId="0" xfId="0"/>
    <xf numFmtId="0" fontId="28" fillId="0" borderId="0" xfId="0" applyFont="1" applyAlignment="1">
      <alignment vertical="center" wrapText="1"/>
    </xf>
    <xf numFmtId="0" fontId="28" fillId="0" borderId="0" xfId="0" applyFont="1" applyAlignment="1">
      <alignment horizontal="right" vertical="center" wrapText="1"/>
    </xf>
    <xf numFmtId="14" fontId="28" fillId="0" borderId="0" xfId="0" applyNumberFormat="1" applyFont="1" applyAlignment="1">
      <alignment vertical="center" wrapText="1"/>
    </xf>
    <xf numFmtId="41" fontId="28" fillId="0" borderId="0" xfId="42" applyFont="1" applyAlignment="1">
      <alignment vertical="center" wrapText="1"/>
    </xf>
    <xf numFmtId="0" fontId="28" fillId="0" borderId="0" xfId="0" applyFont="1" applyAlignment="1">
      <alignment horizontal="center" vertical="center" wrapText="1"/>
    </xf>
    <xf numFmtId="0" fontId="0" fillId="0" borderId="0" xfId="0" applyAlignment="1">
      <alignment wrapText="1"/>
    </xf>
    <xf numFmtId="14" fontId="0" fillId="0" borderId="0" xfId="0" applyNumberFormat="1" applyAlignment="1">
      <alignment wrapText="1"/>
    </xf>
    <xf numFmtId="169" fontId="0" fillId="0" borderId="0" xfId="0" applyNumberFormat="1" applyAlignment="1">
      <alignment wrapText="1"/>
    </xf>
    <xf numFmtId="0" fontId="0" fillId="0" borderId="0" xfId="0" applyAlignment="1">
      <alignment vertical="center" wrapText="1"/>
    </xf>
    <xf numFmtId="0" fontId="28" fillId="34" borderId="0" xfId="0" applyFont="1" applyFill="1" applyAlignment="1">
      <alignment vertical="center" wrapText="1"/>
    </xf>
    <xf numFmtId="14" fontId="28" fillId="34" borderId="0" xfId="0" applyNumberFormat="1" applyFont="1" applyFill="1" applyAlignment="1">
      <alignment vertical="center" wrapText="1"/>
    </xf>
    <xf numFmtId="169" fontId="28" fillId="34" borderId="0" xfId="41" applyNumberFormat="1" applyFont="1" applyFill="1" applyBorder="1" applyAlignment="1">
      <alignment vertical="center" wrapText="1"/>
    </xf>
    <xf numFmtId="0" fontId="28" fillId="34" borderId="0" xfId="41" applyNumberFormat="1" applyFont="1" applyFill="1" applyBorder="1" applyAlignment="1">
      <alignment vertical="center" wrapText="1"/>
    </xf>
    <xf numFmtId="41" fontId="28" fillId="34" borderId="0" xfId="42" applyFont="1" applyFill="1" applyBorder="1" applyAlignment="1">
      <alignment vertical="center" wrapText="1"/>
    </xf>
    <xf numFmtId="169" fontId="0" fillId="0" borderId="0" xfId="0" applyNumberFormat="1" applyAlignment="1">
      <alignment vertical="center" wrapText="1"/>
    </xf>
    <xf numFmtId="41" fontId="13" fillId="0" borderId="0" xfId="42" applyFont="1" applyAlignment="1">
      <alignment vertical="center" wrapText="1"/>
    </xf>
    <xf numFmtId="9" fontId="28" fillId="0" borderId="0" xfId="84" applyFont="1" applyAlignment="1">
      <alignment vertical="center" wrapText="1"/>
    </xf>
    <xf numFmtId="14" fontId="0" fillId="0" borderId="0" xfId="0" applyNumberFormat="1" applyAlignment="1">
      <alignment vertical="center" wrapText="1"/>
    </xf>
    <xf numFmtId="169" fontId="28" fillId="0" borderId="0" xfId="0" applyNumberFormat="1" applyFont="1" applyAlignment="1">
      <alignment vertical="center" wrapText="1"/>
    </xf>
    <xf numFmtId="0" fontId="28" fillId="0" borderId="15" xfId="0" applyFont="1" applyBorder="1" applyAlignment="1">
      <alignment vertical="center" wrapText="1"/>
    </xf>
    <xf numFmtId="14" fontId="28" fillId="0" borderId="15" xfId="0" applyNumberFormat="1" applyFont="1" applyBorder="1" applyAlignment="1">
      <alignment vertical="center" wrapText="1"/>
    </xf>
    <xf numFmtId="0" fontId="28" fillId="0" borderId="15" xfId="41" applyNumberFormat="1" applyFont="1" applyBorder="1" applyAlignment="1">
      <alignment vertical="center" wrapText="1"/>
    </xf>
    <xf numFmtId="41" fontId="28" fillId="0" borderId="15" xfId="42" applyFont="1" applyBorder="1" applyAlignment="1">
      <alignment vertical="center" wrapText="1"/>
    </xf>
    <xf numFmtId="0" fontId="28" fillId="0" borderId="14" xfId="0" applyFont="1" applyBorder="1" applyAlignment="1">
      <alignment vertical="center" wrapText="1"/>
    </xf>
    <xf numFmtId="0" fontId="28" fillId="0" borderId="15" xfId="0" applyFont="1" applyBorder="1" applyAlignment="1">
      <alignment horizontal="right" vertical="center" wrapText="1"/>
    </xf>
    <xf numFmtId="0" fontId="27" fillId="0" borderId="13" xfId="0" applyFont="1" applyBorder="1" applyAlignment="1">
      <alignment vertical="center" wrapText="1"/>
    </xf>
    <xf numFmtId="169" fontId="27" fillId="0" borderId="13" xfId="0" applyNumberFormat="1" applyFont="1" applyBorder="1" applyAlignment="1">
      <alignment vertical="center" wrapText="1"/>
    </xf>
    <xf numFmtId="1" fontId="27" fillId="0" borderId="13" xfId="0" applyNumberFormat="1" applyFont="1" applyBorder="1" applyAlignment="1">
      <alignment vertical="center" wrapText="1"/>
    </xf>
    <xf numFmtId="0" fontId="27" fillId="0" borderId="12" xfId="0" applyFont="1" applyBorder="1" applyAlignment="1">
      <alignment vertical="center" wrapText="1"/>
    </xf>
    <xf numFmtId="169" fontId="28" fillId="0" borderId="15" xfId="0" applyNumberFormat="1" applyFont="1" applyBorder="1" applyAlignment="1">
      <alignment vertical="center" wrapText="1"/>
    </xf>
    <xf numFmtId="14" fontId="27" fillId="0" borderId="13" xfId="0" applyNumberFormat="1" applyFont="1" applyBorder="1" applyAlignment="1">
      <alignment vertical="center" wrapText="1"/>
    </xf>
    <xf numFmtId="0" fontId="29" fillId="0" borderId="15" xfId="0" applyFont="1" applyBorder="1" applyAlignment="1">
      <alignment vertical="center" wrapText="1"/>
    </xf>
    <xf numFmtId="0" fontId="29" fillId="0" borderId="15" xfId="0" applyFont="1" applyBorder="1" applyAlignment="1">
      <alignment horizontal="right" vertical="center" wrapText="1"/>
    </xf>
    <xf numFmtId="169" fontId="28" fillId="0" borderId="15" xfId="42" applyNumberFormat="1" applyFont="1" applyBorder="1" applyAlignment="1">
      <alignment vertical="center" wrapText="1"/>
    </xf>
    <xf numFmtId="0" fontId="29" fillId="0" borderId="14" xfId="0" applyFont="1" applyBorder="1" applyAlignment="1">
      <alignment vertical="center" wrapText="1"/>
    </xf>
    <xf numFmtId="0" fontId="28" fillId="0" borderId="15" xfId="0" applyFont="1" applyBorder="1" applyAlignment="1">
      <alignment horizontal="left" vertical="center" wrapText="1"/>
    </xf>
    <xf numFmtId="0" fontId="27" fillId="0" borderId="13" xfId="0" applyFont="1" applyBorder="1" applyAlignment="1">
      <alignment horizontal="right" vertical="center" wrapText="1"/>
    </xf>
    <xf numFmtId="0" fontId="28" fillId="35" borderId="0" xfId="0" applyFont="1" applyFill="1" applyAlignment="1">
      <alignment vertical="center" wrapText="1"/>
    </xf>
    <xf numFmtId="0" fontId="0" fillId="35" borderId="0" xfId="0" applyFill="1" applyAlignment="1">
      <alignment horizontal="center" vertical="center" wrapText="1"/>
    </xf>
    <xf numFmtId="1" fontId="0" fillId="35" borderId="0" xfId="0" applyNumberFormat="1" applyFill="1" applyAlignment="1">
      <alignment horizontal="center" vertical="center" wrapText="1"/>
    </xf>
    <xf numFmtId="0" fontId="26" fillId="35" borderId="0" xfId="0" applyFont="1" applyFill="1" applyAlignment="1">
      <alignment horizontal="center" vertical="center" wrapText="1"/>
    </xf>
    <xf numFmtId="0" fontId="27" fillId="35" borderId="0" xfId="0" applyFont="1" applyFill="1" applyAlignment="1">
      <alignment vertical="center" wrapText="1"/>
    </xf>
    <xf numFmtId="0" fontId="27" fillId="35" borderId="0" xfId="0" applyFont="1" applyFill="1" applyAlignment="1">
      <alignment horizontal="center" vertical="center" wrapText="1"/>
    </xf>
    <xf numFmtId="0" fontId="28" fillId="35" borderId="0" xfId="0" applyFont="1" applyFill="1" applyAlignment="1">
      <alignment horizontal="center" vertical="center" wrapText="1"/>
    </xf>
    <xf numFmtId="0" fontId="0" fillId="35" borderId="0" xfId="0" applyFill="1" applyAlignment="1">
      <alignment horizontal="center" wrapText="1"/>
    </xf>
    <xf numFmtId="0" fontId="26" fillId="35" borderId="0" xfId="0" applyFont="1" applyFill="1" applyAlignment="1">
      <alignment horizontal="center" wrapText="1"/>
    </xf>
    <xf numFmtId="0" fontId="28" fillId="0" borderId="15" xfId="0" applyFont="1" applyBorder="1" applyAlignment="1">
      <alignment horizontal="center" vertical="center" wrapText="1"/>
    </xf>
    <xf numFmtId="14" fontId="28" fillId="0" borderId="15" xfId="0" applyNumberFormat="1" applyFont="1" applyBorder="1" applyAlignment="1">
      <alignment horizontal="center" vertical="center" wrapText="1"/>
    </xf>
    <xf numFmtId="41" fontId="28" fillId="0" borderId="15" xfId="42" applyFont="1" applyBorder="1" applyAlignment="1">
      <alignment horizontal="right" vertical="center" wrapText="1"/>
    </xf>
    <xf numFmtId="169" fontId="28" fillId="0" borderId="15" xfId="0" applyNumberFormat="1" applyFont="1" applyBorder="1" applyAlignment="1">
      <alignment horizontal="center" vertical="center" wrapText="1"/>
    </xf>
    <xf numFmtId="0" fontId="28" fillId="0" borderId="14" xfId="0" applyFont="1" applyBorder="1" applyAlignment="1">
      <alignment horizontal="center" vertical="center" wrapText="1"/>
    </xf>
    <xf numFmtId="0" fontId="0" fillId="0" borderId="15" xfId="0" applyBorder="1"/>
    <xf numFmtId="169" fontId="28" fillId="0" borderId="14" xfId="0" applyNumberFormat="1" applyFont="1" applyBorder="1" applyAlignment="1">
      <alignment horizontal="center" vertical="center" wrapText="1"/>
    </xf>
    <xf numFmtId="0" fontId="27" fillId="0" borderId="13" xfId="0" applyFont="1" applyBorder="1" applyAlignment="1">
      <alignment horizontal="center" vertical="center" wrapText="1"/>
    </xf>
    <xf numFmtId="0" fontId="26" fillId="0" borderId="13" xfId="0" applyFont="1" applyBorder="1"/>
    <xf numFmtId="14" fontId="27" fillId="0" borderId="13" xfId="0" applyNumberFormat="1" applyFont="1" applyBorder="1" applyAlignment="1">
      <alignment horizontal="center" vertical="center" wrapText="1"/>
    </xf>
    <xf numFmtId="169" fontId="27" fillId="0" borderId="13" xfId="0" applyNumberFormat="1" applyFont="1" applyBorder="1" applyAlignment="1">
      <alignment horizontal="center" vertical="center" wrapText="1"/>
    </xf>
    <xf numFmtId="169" fontId="27" fillId="0" borderId="12" xfId="0" applyNumberFormat="1" applyFont="1" applyBorder="1" applyAlignment="1">
      <alignment horizontal="center" vertical="center" wrapText="1"/>
    </xf>
    <xf numFmtId="14" fontId="28" fillId="0" borderId="0" xfId="0" applyNumberFormat="1" applyFont="1" applyAlignment="1">
      <alignment horizontal="center" vertical="center" wrapText="1"/>
    </xf>
    <xf numFmtId="169" fontId="28" fillId="0" borderId="0" xfId="0" applyNumberFormat="1" applyFont="1" applyAlignment="1">
      <alignment horizontal="center" vertical="center" wrapText="1"/>
    </xf>
    <xf numFmtId="169" fontId="28" fillId="0" borderId="15" xfId="42" applyNumberFormat="1" applyFont="1" applyFill="1" applyBorder="1" applyAlignment="1">
      <alignment vertical="center" wrapText="1"/>
    </xf>
    <xf numFmtId="0" fontId="30" fillId="0" borderId="14" xfId="0" applyFont="1" applyBorder="1" applyAlignment="1">
      <alignment vertical="center" wrapText="1"/>
    </xf>
    <xf numFmtId="14" fontId="28" fillId="34" borderId="15" xfId="0" applyNumberFormat="1" applyFont="1" applyFill="1" applyBorder="1" applyAlignment="1">
      <alignment vertical="center" wrapText="1"/>
    </xf>
    <xf numFmtId="169" fontId="28" fillId="34" borderId="15" xfId="42" applyNumberFormat="1" applyFont="1" applyFill="1" applyBorder="1" applyAlignment="1">
      <alignment vertical="center" wrapText="1"/>
    </xf>
    <xf numFmtId="0" fontId="31" fillId="36" borderId="15" xfId="0" applyFont="1" applyFill="1" applyBorder="1" applyAlignment="1">
      <alignment horizontal="center" vertical="center" wrapText="1"/>
    </xf>
    <xf numFmtId="169" fontId="31" fillId="36" borderId="15" xfId="41" applyNumberFormat="1" applyFont="1" applyFill="1" applyBorder="1" applyAlignment="1">
      <alignment horizontal="center" vertical="center" wrapText="1"/>
    </xf>
    <xf numFmtId="41" fontId="31" fillId="36" borderId="15" xfId="42" applyFont="1" applyFill="1" applyBorder="1" applyAlignment="1">
      <alignment horizontal="center" vertical="center" wrapText="1"/>
    </xf>
    <xf numFmtId="0" fontId="31" fillId="36" borderId="14" xfId="0" applyFont="1" applyFill="1" applyBorder="1" applyAlignment="1">
      <alignment horizontal="center" vertical="center" wrapText="1"/>
    </xf>
    <xf numFmtId="0" fontId="28" fillId="0" borderId="15" xfId="41" applyNumberFormat="1" applyFont="1" applyFill="1" applyBorder="1" applyAlignment="1">
      <alignment vertical="center" wrapText="1"/>
    </xf>
    <xf numFmtId="0" fontId="27" fillId="0" borderId="0" xfId="0" applyFont="1" applyAlignment="1">
      <alignment horizontal="center" vertical="center" wrapText="1"/>
    </xf>
    <xf numFmtId="0" fontId="0" fillId="38" borderId="0" xfId="0" applyFill="1"/>
    <xf numFmtId="0" fontId="16" fillId="38" borderId="0" xfId="0" applyFont="1" applyFill="1"/>
    <xf numFmtId="0" fontId="26" fillId="0" borderId="0" xfId="0" applyFont="1"/>
    <xf numFmtId="14" fontId="28" fillId="0" borderId="14" xfId="0" applyNumberFormat="1" applyFont="1" applyBorder="1" applyAlignment="1">
      <alignment horizontal="center" vertical="center" wrapText="1"/>
    </xf>
    <xf numFmtId="14" fontId="28" fillId="0" borderId="13" xfId="0" applyNumberFormat="1" applyFont="1" applyBorder="1" applyAlignment="1">
      <alignment horizontal="center" vertical="center" wrapText="1"/>
    </xf>
    <xf numFmtId="14" fontId="28" fillId="0" borderId="12" xfId="0" applyNumberFormat="1" applyFont="1" applyBorder="1" applyAlignment="1">
      <alignment horizontal="center" vertical="center" wrapText="1"/>
    </xf>
    <xf numFmtId="0" fontId="28" fillId="0" borderId="14" xfId="41" applyNumberFormat="1" applyFont="1" applyBorder="1" applyAlignment="1">
      <alignment vertical="center" wrapText="1"/>
    </xf>
    <xf numFmtId="0" fontId="28" fillId="0" borderId="13" xfId="41" applyNumberFormat="1" applyFont="1" applyBorder="1" applyAlignment="1">
      <alignment vertical="center" wrapText="1"/>
    </xf>
    <xf numFmtId="0" fontId="28" fillId="0" borderId="12" xfId="41" applyNumberFormat="1" applyFont="1" applyBorder="1" applyAlignment="1">
      <alignment vertical="center" wrapText="1"/>
    </xf>
    <xf numFmtId="0" fontId="28" fillId="39" borderId="15" xfId="0" applyFont="1" applyFill="1" applyBorder="1" applyAlignment="1">
      <alignment vertical="center" wrapText="1"/>
    </xf>
    <xf numFmtId="0" fontId="26" fillId="0" borderId="0" xfId="0" applyFont="1" applyAlignment="1">
      <alignment vertical="center" wrapText="1"/>
    </xf>
    <xf numFmtId="169" fontId="28" fillId="0" borderId="15" xfId="41" applyNumberFormat="1" applyFont="1" applyFill="1" applyBorder="1" applyAlignment="1">
      <alignment vertical="center" wrapText="1"/>
    </xf>
    <xf numFmtId="177" fontId="28" fillId="0" borderId="15" xfId="0" applyNumberFormat="1" applyFont="1" applyBorder="1" applyAlignment="1">
      <alignment vertical="center" wrapText="1"/>
    </xf>
    <xf numFmtId="177" fontId="30" fillId="0" borderId="15" xfId="0" applyNumberFormat="1" applyFont="1" applyBorder="1" applyAlignment="1">
      <alignment vertical="center" wrapText="1"/>
    </xf>
    <xf numFmtId="14" fontId="30" fillId="0" borderId="15" xfId="0" applyNumberFormat="1" applyFont="1" applyBorder="1" applyAlignment="1">
      <alignment vertical="center" wrapText="1"/>
    </xf>
    <xf numFmtId="0" fontId="26" fillId="40" borderId="0" xfId="0" applyFont="1" applyFill="1" applyAlignment="1">
      <alignment horizontal="center" vertical="center" wrapText="1"/>
    </xf>
    <xf numFmtId="0" fontId="0" fillId="41" borderId="0" xfId="0" applyFill="1" applyAlignment="1">
      <alignment horizontal="left" vertical="center" wrapText="1"/>
    </xf>
    <xf numFmtId="0" fontId="0" fillId="0" borderId="0" xfId="0" applyAlignment="1">
      <alignment horizontal="left" vertical="center" wrapText="1"/>
    </xf>
    <xf numFmtId="0" fontId="26" fillId="37" borderId="0" xfId="0" applyFont="1" applyFill="1" applyAlignment="1">
      <alignment horizontal="center" vertical="center" wrapText="1"/>
    </xf>
    <xf numFmtId="0" fontId="0" fillId="42" borderId="0" xfId="0" applyFill="1" applyAlignment="1">
      <alignment horizontal="left" vertical="center" wrapText="1"/>
    </xf>
    <xf numFmtId="0" fontId="26" fillId="38" borderId="0" xfId="0" applyFont="1" applyFill="1" applyAlignment="1">
      <alignment horizontal="center" vertical="center" wrapText="1"/>
    </xf>
    <xf numFmtId="0" fontId="0" fillId="45" borderId="0" xfId="0" applyFill="1" applyAlignment="1">
      <alignment horizontal="left" vertical="center" wrapText="1"/>
    </xf>
    <xf numFmtId="0" fontId="26" fillId="43" borderId="0" xfId="0" applyFont="1" applyFill="1" applyAlignment="1">
      <alignment horizontal="center" vertical="center" wrapText="1"/>
    </xf>
    <xf numFmtId="0" fontId="0" fillId="44" borderId="0" xfId="0" applyFill="1" applyAlignment="1">
      <alignment horizontal="left" vertical="center" wrapText="1"/>
    </xf>
    <xf numFmtId="0" fontId="0" fillId="41" borderId="0" xfId="0" applyFill="1" applyAlignment="1">
      <alignment horizontal="center" vertical="center" wrapText="1"/>
    </xf>
    <xf numFmtId="0" fontId="27" fillId="0" borderId="15" xfId="0" applyFont="1" applyBorder="1" applyAlignment="1">
      <alignment vertical="center" wrapText="1"/>
    </xf>
    <xf numFmtId="0" fontId="0" fillId="0" borderId="0" xfId="0"/>
    <xf numFmtId="0" fontId="28" fillId="0" borderId="15" xfId="0" applyFont="1" applyBorder="1" applyAlignment="1">
      <alignment vertical="center" wrapText="1"/>
    </xf>
    <xf numFmtId="14" fontId="28" fillId="0" borderId="15" xfId="0" applyNumberFormat="1" applyFont="1" applyBorder="1" applyAlignment="1">
      <alignment vertical="center" wrapText="1"/>
    </xf>
    <xf numFmtId="0" fontId="28" fillId="0" borderId="15" xfId="99" applyNumberFormat="1" applyFont="1" applyBorder="1" applyAlignment="1">
      <alignment vertical="center" wrapText="1"/>
    </xf>
    <xf numFmtId="180" fontId="28" fillId="0" borderId="15" xfId="101" applyFont="1" applyBorder="1" applyAlignment="1">
      <alignment vertical="center" wrapText="1"/>
    </xf>
    <xf numFmtId="0" fontId="28" fillId="0" borderId="14" xfId="0" applyFont="1" applyBorder="1" applyAlignment="1">
      <alignment vertical="center" wrapText="1"/>
    </xf>
    <xf numFmtId="0" fontId="28" fillId="0" borderId="15" xfId="0" applyFont="1" applyBorder="1" applyAlignment="1">
      <alignment horizontal="right" vertical="center" wrapText="1"/>
    </xf>
    <xf numFmtId="0" fontId="0" fillId="35" borderId="0" xfId="0" applyFill="1" applyAlignment="1">
      <alignment horizontal="center" vertical="center" wrapText="1"/>
    </xf>
    <xf numFmtId="14" fontId="28" fillId="34" borderId="15" xfId="0" applyNumberFormat="1" applyFont="1" applyFill="1" applyBorder="1" applyAlignment="1">
      <alignment vertical="center" wrapText="1"/>
    </xf>
    <xf numFmtId="169" fontId="28" fillId="0" borderId="15" xfId="99" applyNumberFormat="1" applyFont="1" applyFill="1" applyBorder="1" applyAlignment="1">
      <alignment vertical="center" wrapText="1"/>
    </xf>
    <xf numFmtId="169" fontId="28" fillId="34" borderId="15" xfId="99" applyNumberFormat="1" applyFont="1" applyFill="1" applyBorder="1" applyAlignment="1">
      <alignment vertical="center" wrapText="1"/>
    </xf>
    <xf numFmtId="0" fontId="28" fillId="0" borderId="15" xfId="99" applyNumberFormat="1" applyFont="1" applyFill="1" applyBorder="1" applyAlignment="1">
      <alignment vertical="center" wrapText="1"/>
    </xf>
    <xf numFmtId="14" fontId="30" fillId="0" borderId="15" xfId="0" applyNumberFormat="1" applyFont="1" applyBorder="1" applyAlignment="1">
      <alignment vertical="center" wrapText="1"/>
    </xf>
    <xf numFmtId="0" fontId="28" fillId="0" borderId="14" xfId="99" applyNumberFormat="1" applyFont="1" applyBorder="1" applyAlignment="1">
      <alignment vertical="center" wrapText="1"/>
    </xf>
    <xf numFmtId="0" fontId="28" fillId="39" borderId="15" xfId="0" applyFont="1" applyFill="1" applyBorder="1" applyAlignment="1">
      <alignment vertical="center" wrapText="1"/>
    </xf>
    <xf numFmtId="14" fontId="37" fillId="34" borderId="15" xfId="0" applyNumberFormat="1" applyFont="1" applyFill="1" applyBorder="1" applyAlignment="1">
      <alignment vertical="center" wrapText="1"/>
    </xf>
  </cellXfs>
  <cellStyles count="123">
    <cellStyle name="20% - Accent1" xfId="1" xr:uid="{00000000-0005-0000-0000-000000000000}"/>
    <cellStyle name="20% - Accent2" xfId="2" xr:uid="{00000000-0005-0000-0000-000001000000}"/>
    <cellStyle name="20% - Accent3" xfId="3" xr:uid="{00000000-0005-0000-0000-000002000000}"/>
    <cellStyle name="20% - Accent4" xfId="4" xr:uid="{00000000-0005-0000-0000-000003000000}"/>
    <cellStyle name="20% - Accent5" xfId="5" xr:uid="{00000000-0005-0000-0000-000004000000}"/>
    <cellStyle name="20% - Accent6" xfId="6" xr:uid="{00000000-0005-0000-0000-000005000000}"/>
    <cellStyle name="40% - Accent1" xfId="7" xr:uid="{00000000-0005-0000-0000-00000C000000}"/>
    <cellStyle name="40% - Accent2" xfId="8" xr:uid="{00000000-0005-0000-0000-00000D000000}"/>
    <cellStyle name="40% - Accent3" xfId="9" xr:uid="{00000000-0005-0000-0000-00000E000000}"/>
    <cellStyle name="40% - Accent4" xfId="10" xr:uid="{00000000-0005-0000-0000-00000F000000}"/>
    <cellStyle name="40% - Accent5" xfId="11" xr:uid="{00000000-0005-0000-0000-000010000000}"/>
    <cellStyle name="40% - Accent6" xfId="12" xr:uid="{00000000-0005-0000-0000-000011000000}"/>
    <cellStyle name="60% - Accent1" xfId="13" xr:uid="{00000000-0005-0000-0000-000018000000}"/>
    <cellStyle name="60% - Accent2" xfId="14" xr:uid="{00000000-0005-0000-0000-000019000000}"/>
    <cellStyle name="60% - Accent3" xfId="15" xr:uid="{00000000-0005-0000-0000-00001A000000}"/>
    <cellStyle name="60% - Accent4" xfId="16" xr:uid="{00000000-0005-0000-0000-00001B000000}"/>
    <cellStyle name="60% - Accent5" xfId="17" xr:uid="{00000000-0005-0000-0000-00001C000000}"/>
    <cellStyle name="60% - Accent6" xfId="18" xr:uid="{00000000-0005-0000-0000-00001D000000}"/>
    <cellStyle name="Accent1" xfId="23" xr:uid="{00000000-0005-0000-0000-000024000000}"/>
    <cellStyle name="Accent2" xfId="24" xr:uid="{00000000-0005-0000-0000-000025000000}"/>
    <cellStyle name="Accent3" xfId="25" xr:uid="{00000000-0005-0000-0000-000026000000}"/>
    <cellStyle name="Accent4" xfId="26" xr:uid="{00000000-0005-0000-0000-000027000000}"/>
    <cellStyle name="Accent5" xfId="27" xr:uid="{00000000-0005-0000-0000-000028000000}"/>
    <cellStyle name="Accent6" xfId="28" xr:uid="{00000000-0005-0000-0000-000029000000}"/>
    <cellStyle name="Bad" xfId="36" xr:uid="{00000000-0005-0000-0000-00002A000000}"/>
    <cellStyle name="Calculation" xfId="21" xr:uid="{00000000-0005-0000-0000-00002C000000}"/>
    <cellStyle name="Calculation 2" xfId="19" xr:uid="{00000000-0005-0000-0000-00002D000000}"/>
    <cellStyle name="Calculation 2 2" xfId="20" xr:uid="{00000000-0005-0000-0000-00002E000000}"/>
    <cellStyle name="Check Cell" xfId="22" builtinId="23" customBuiltin="1"/>
    <cellStyle name="Comma" xfId="41" builtinId="3"/>
    <cellStyle name="Comma [0]" xfId="42" builtinId="6"/>
    <cellStyle name="Comma [0] 2" xfId="101" xr:uid="{17FCC340-4D51-48C9-812B-E39DFA7C8C3D}"/>
    <cellStyle name="Comma 2" xfId="100" xr:uid="{3E738D0B-21AC-4A7F-95C4-19D6ECAB7EB5}"/>
    <cellStyle name="Comma 3" xfId="99" xr:uid="{B46AD549-F25B-4506-B7F5-06656AF25207}"/>
    <cellStyle name="Euro" xfId="29" xr:uid="{00000000-0005-0000-0000-00003C000000}"/>
    <cellStyle name="Explanatory Text" xfId="87" xr:uid="{00000000-0005-0000-0000-00003D000000}"/>
    <cellStyle name="Good" xfId="30" builtinId="26" customBuiltin="1"/>
    <cellStyle name="Heading 1" xfId="31" builtinId="16" customBuiltin="1"/>
    <cellStyle name="Heading 2" xfId="89" xr:uid="{00000000-0005-0000-0000-000040000000}"/>
    <cellStyle name="Heading 3" xfId="90" xr:uid="{00000000-0005-0000-0000-000041000000}"/>
    <cellStyle name="Heading 4" xfId="32" builtinId="19" customBuiltin="1"/>
    <cellStyle name="Hipervínculo 2" xfId="33" xr:uid="{00000000-0005-0000-0000-000043000000}"/>
    <cellStyle name="Hipervínculo 2 2" xfId="96" xr:uid="{59339F78-835E-4201-B685-1C7A0EF61A30}"/>
    <cellStyle name="Hipervínculo 3" xfId="34" xr:uid="{00000000-0005-0000-0000-000044000000}"/>
    <cellStyle name="Hipervínculo 4" xfId="35" xr:uid="{00000000-0005-0000-0000-000045000000}"/>
    <cellStyle name="Input" xfId="37" builtinId="20" customBuiltin="1"/>
    <cellStyle name="Input 2" xfId="38" xr:uid="{00000000-0005-0000-0000-000048000000}"/>
    <cellStyle name="Input 2 2" xfId="39" xr:uid="{00000000-0005-0000-0000-000049000000}"/>
    <cellStyle name="Linked Cell" xfId="40" builtinId="24" customBuiltin="1"/>
    <cellStyle name="Millares [0] 2" xfId="43" xr:uid="{00000000-0005-0000-0000-00004D000000}"/>
    <cellStyle name="Millares [0] 2 2" xfId="97" xr:uid="{DEF3BA25-5004-44FE-8071-773A3D95CBC4}"/>
    <cellStyle name="Millares 10" xfId="44" xr:uid="{00000000-0005-0000-0000-00004E000000}"/>
    <cellStyle name="Millares 10 2" xfId="45" xr:uid="{00000000-0005-0000-0000-00004F000000}"/>
    <cellStyle name="Millares 10 2 2" xfId="103" xr:uid="{45A084D6-A95E-431D-8A55-CCEDBC61F72E}"/>
    <cellStyle name="Millares 10 3" xfId="102" xr:uid="{6AC293A9-1485-450D-8010-AC4199AAEE59}"/>
    <cellStyle name="Millares 11" xfId="46" xr:uid="{00000000-0005-0000-0000-000050000000}"/>
    <cellStyle name="Millares 11 2" xfId="104" xr:uid="{AF27D5EA-4754-4B4A-AE9B-8D283468E092}"/>
    <cellStyle name="Millares 12" xfId="47" xr:uid="{00000000-0005-0000-0000-000051000000}"/>
    <cellStyle name="Millares 12 2" xfId="105" xr:uid="{140B9A83-4C10-4066-BEA1-2AADF417129E}"/>
    <cellStyle name="Millares 13" xfId="48" xr:uid="{00000000-0005-0000-0000-000052000000}"/>
    <cellStyle name="Millares 13 2" xfId="106" xr:uid="{76EB94D6-76F3-46F1-A805-2DAF973AC2CE}"/>
    <cellStyle name="Millares 14" xfId="49" xr:uid="{00000000-0005-0000-0000-000053000000}"/>
    <cellStyle name="Millares 14 2" xfId="107" xr:uid="{93E643BC-306E-4F3F-9B0A-8EE6C05E26CD}"/>
    <cellStyle name="Millares 15" xfId="50" xr:uid="{00000000-0005-0000-0000-000054000000}"/>
    <cellStyle name="Millares 15 2" xfId="108" xr:uid="{0EAC8AB8-7AFC-4D36-8643-207AAE16E3C4}"/>
    <cellStyle name="Millares 16" xfId="51" xr:uid="{00000000-0005-0000-0000-000055000000}"/>
    <cellStyle name="Millares 16 2" xfId="109" xr:uid="{2EB51C39-E403-475F-99F8-9C200C6E4582}"/>
    <cellStyle name="Millares 17" xfId="52" xr:uid="{00000000-0005-0000-0000-000056000000}"/>
    <cellStyle name="Millares 17 2" xfId="110" xr:uid="{FD622595-A9EC-4919-9093-8CB07DAD223F}"/>
    <cellStyle name="Millares 18" xfId="53" xr:uid="{00000000-0005-0000-0000-000057000000}"/>
    <cellStyle name="Millares 18 2" xfId="111" xr:uid="{933A0FD6-706E-40DA-B297-D0EDECE790C4}"/>
    <cellStyle name="Millares 19" xfId="54" xr:uid="{00000000-0005-0000-0000-000058000000}"/>
    <cellStyle name="Millares 19 2" xfId="112" xr:uid="{CDC8B465-1E60-430A-9939-A5CDEA58B968}"/>
    <cellStyle name="Millares 2" xfId="55" xr:uid="{00000000-0005-0000-0000-000059000000}"/>
    <cellStyle name="Millares 2 2" xfId="56" xr:uid="{00000000-0005-0000-0000-00005A000000}"/>
    <cellStyle name="Millares 2 2 2" xfId="113" xr:uid="{213A942F-1950-4682-B784-DE132ED38335}"/>
    <cellStyle name="Millares 20" xfId="57" xr:uid="{00000000-0005-0000-0000-00005B000000}"/>
    <cellStyle name="Millares 20 2" xfId="114" xr:uid="{7D54F361-0BF6-4EED-9AF9-B79AB3B06320}"/>
    <cellStyle name="Millares 21" xfId="58" xr:uid="{00000000-0005-0000-0000-00005C000000}"/>
    <cellStyle name="Millares 22" xfId="59" xr:uid="{00000000-0005-0000-0000-00005D000000}"/>
    <cellStyle name="Millares 23" xfId="95" xr:uid="{3AD79C62-AF4B-4C41-9EEB-87AA86875AC5}"/>
    <cellStyle name="Millares 24" xfId="98" xr:uid="{3BC382B6-72CD-462F-9744-56961F726675}"/>
    <cellStyle name="Millares 3" xfId="60" xr:uid="{00000000-0005-0000-0000-00005E000000}"/>
    <cellStyle name="Millares 4" xfId="61" xr:uid="{00000000-0005-0000-0000-00005F000000}"/>
    <cellStyle name="Millares 4 2" xfId="115" xr:uid="{CDC2A6AB-1952-403C-80A3-D64122026A88}"/>
    <cellStyle name="Millares 5" xfId="62" xr:uid="{00000000-0005-0000-0000-000060000000}"/>
    <cellStyle name="Millares 5 2" xfId="116" xr:uid="{102D8793-FBDC-46D8-A0DF-EE0FA075B3D9}"/>
    <cellStyle name="Millares 6" xfId="63" xr:uid="{00000000-0005-0000-0000-000061000000}"/>
    <cellStyle name="Millares 6 2" xfId="117" xr:uid="{2C49A4FC-7EA3-4B9E-A76A-2BE0DE1356F6}"/>
    <cellStyle name="Millares 7" xfId="64" xr:uid="{00000000-0005-0000-0000-000062000000}"/>
    <cellStyle name="Millares 7 2" xfId="118" xr:uid="{DEB8F550-9F87-4B2F-B765-FDBFB035DDD4}"/>
    <cellStyle name="Millares 8" xfId="65" xr:uid="{00000000-0005-0000-0000-000063000000}"/>
    <cellStyle name="Millares 8 2" xfId="119" xr:uid="{F166E525-390A-4C3B-AB67-182111BBD994}"/>
    <cellStyle name="Millares 9" xfId="66" xr:uid="{00000000-0005-0000-0000-000064000000}"/>
    <cellStyle name="Millares 9 2" xfId="120" xr:uid="{DA941F76-A4B7-45F3-9452-96CE6A8EF89F}"/>
    <cellStyle name="Moneda 2" xfId="67" xr:uid="{00000000-0005-0000-0000-000066000000}"/>
    <cellStyle name="Neutral" xfId="68" builtinId="28" customBuiltin="1"/>
    <cellStyle name="Normal" xfId="0" builtinId="0"/>
    <cellStyle name="Normal 10" xfId="69" xr:uid="{00000000-0005-0000-0000-000069000000}"/>
    <cellStyle name="Normal 12" xfId="70" xr:uid="{00000000-0005-0000-0000-00006A000000}"/>
    <cellStyle name="Normal 2" xfId="71" xr:uid="{00000000-0005-0000-0000-00006B000000}"/>
    <cellStyle name="Normal 2 2" xfId="72" xr:uid="{00000000-0005-0000-0000-00006C000000}"/>
    <cellStyle name="Normal 2_Hortifrut Chile" xfId="73" xr:uid="{00000000-0005-0000-0000-00006D000000}"/>
    <cellStyle name="Normal 23" xfId="74" xr:uid="{00000000-0005-0000-0000-00006E000000}"/>
    <cellStyle name="Normal 3" xfId="75" xr:uid="{00000000-0005-0000-0000-00006F000000}"/>
    <cellStyle name="Normal 3 2" xfId="76" xr:uid="{00000000-0005-0000-0000-000070000000}"/>
    <cellStyle name="Normal 4" xfId="77" xr:uid="{00000000-0005-0000-0000-000071000000}"/>
    <cellStyle name="Normal 5" xfId="93" xr:uid="{00000000-0005-0000-0000-000072000000}"/>
    <cellStyle name="Normal 5 2" xfId="121" xr:uid="{61D2D964-310F-42EA-AD28-1CA57934ED59}"/>
    <cellStyle name="Normal 6" xfId="94" xr:uid="{00000000-0005-0000-0000-000073000000}"/>
    <cellStyle name="Normal 6 2" xfId="122" xr:uid="{2E6F7D33-AFA3-48B8-8AF1-5B3A04765EBC}"/>
    <cellStyle name="Normal2" xfId="78" xr:uid="{00000000-0005-0000-0000-000074000000}"/>
    <cellStyle name="Note" xfId="79" builtinId="10" customBuiltin="1"/>
    <cellStyle name="Note 2" xfId="80" xr:uid="{00000000-0005-0000-0000-000077000000}"/>
    <cellStyle name="Note 2 2" xfId="81" xr:uid="{00000000-0005-0000-0000-000078000000}"/>
    <cellStyle name="Output" xfId="86" xr:uid="{00000000-0005-0000-0000-000079000000}"/>
    <cellStyle name="Output 2" xfId="82" xr:uid="{00000000-0005-0000-0000-00007A000000}"/>
    <cellStyle name="Output 2 2" xfId="83" xr:uid="{00000000-0005-0000-0000-00007B000000}"/>
    <cellStyle name="Percent" xfId="84" builtinId="5"/>
    <cellStyle name="Porcentual 2" xfId="85" xr:uid="{00000000-0005-0000-0000-00007D000000}"/>
    <cellStyle name="Title" xfId="88" xr:uid="{00000000-0005-0000-0000-000081000000}"/>
    <cellStyle name="Total" xfId="91" builtinId="25" customBuiltin="1"/>
    <cellStyle name="Warning Text" xfId="92" builtinId="11" customBuiltin="1"/>
  </cellStyles>
  <dxfs count="1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AD0274"/>
      <color rgb="FFC6D1E0"/>
      <color rgb="FF374A66"/>
      <color rgb="FFBFDDAB"/>
      <color rgb="FFB9E9FF"/>
      <color rgb="FF00AEFF"/>
      <color rgb="FFFEA8E1"/>
      <color rgb="FFF7D791"/>
      <color rgb="FFEFAC14"/>
      <color rgb="FF75B4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Daniela Torres Malagon" id="{4B6BFF12-975F-4B3E-A3A6-A21D99DB29DA}" userId="S::daniela.torres@fi-group.com::7ba3faf0-7592-4678-91ba-5e20b6b89b43"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3" dT="2025-11-19T16:29:42.24" personId="{4B6BFF12-975F-4B3E-A3A6-A21D99DB29DA}" id="{0DEE7854-3B5E-4AB0-AE27-6DBD49067A29}">
    <text>El cp expone un monto menor del total de la factura.
Factura: 8.711.609 ( NETO: 7.320.680)
CP: 6.969.287</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7.bin"/><Relationship Id="rId1" Type="http://schemas.openxmlformats.org/officeDocument/2006/relationships/hyperlink" Target="http://www.sii.cl/pagina/valores/bienes/tabla_vida_enero.htm"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FD2F-3198-4CE9-96B7-A7698ADDBBF2}">
  <sheetPr>
    <tabColor theme="8"/>
  </sheetPr>
  <dimension ref="B2:M13"/>
  <sheetViews>
    <sheetView showGridLines="0" workbookViewId="0">
      <selection activeCell="D39" sqref="D39"/>
    </sheetView>
  </sheetViews>
  <sheetFormatPr defaultColWidth="10.6640625" defaultRowHeight="14.25"/>
  <cols>
    <col min="2" max="2" width="11.19921875" customWidth="1"/>
  </cols>
  <sheetData>
    <row r="2" spans="2:13">
      <c r="B2" s="72" t="s">
        <v>44</v>
      </c>
      <c r="C2" s="71"/>
      <c r="D2" s="71"/>
      <c r="E2" s="71"/>
      <c r="F2" s="71"/>
      <c r="G2" s="71"/>
      <c r="H2" s="71"/>
      <c r="I2" s="71"/>
      <c r="J2" s="71"/>
      <c r="K2" s="71"/>
      <c r="L2" s="71"/>
      <c r="M2" s="71"/>
    </row>
    <row r="4" spans="2:13">
      <c r="B4" s="73" t="s">
        <v>45</v>
      </c>
      <c r="C4" t="s">
        <v>52</v>
      </c>
    </row>
    <row r="6" spans="2:13">
      <c r="B6" s="73" t="s">
        <v>46</v>
      </c>
      <c r="C6" t="s">
        <v>53</v>
      </c>
    </row>
    <row r="7" spans="2:13">
      <c r="C7" t="s">
        <v>54</v>
      </c>
    </row>
    <row r="8" spans="2:13">
      <c r="C8" t="s">
        <v>55</v>
      </c>
    </row>
    <row r="10" spans="2:13">
      <c r="B10" s="73" t="s">
        <v>47</v>
      </c>
      <c r="C10" t="s">
        <v>54</v>
      </c>
    </row>
    <row r="11" spans="2:13">
      <c r="C11" t="s">
        <v>55</v>
      </c>
    </row>
    <row r="13" spans="2:13">
      <c r="B13" s="73" t="s">
        <v>48</v>
      </c>
      <c r="C13"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W24"/>
  <sheetViews>
    <sheetView showGridLines="0" zoomScale="70" zoomScaleNormal="70" workbookViewId="0">
      <pane ySplit="1" topLeftCell="A2" activePane="bottomLeft" state="frozen"/>
      <selection pane="bottomLeft" activeCell="F13" sqref="F13"/>
    </sheetView>
  </sheetViews>
  <sheetFormatPr defaultColWidth="11.46484375" defaultRowHeight="25.05" customHeight="1"/>
  <cols>
    <col min="1" max="1" width="12.796875" style="9" bestFit="1" customWidth="1"/>
    <col min="2" max="2" width="14.796875" style="9" bestFit="1" customWidth="1"/>
    <col min="3" max="3" width="12.796875" style="9" customWidth="1"/>
    <col min="4" max="4" width="13.53125" style="9" customWidth="1"/>
    <col min="5" max="5" width="18" style="9" customWidth="1"/>
    <col min="6" max="6" width="28.19921875" style="9" customWidth="1"/>
    <col min="7" max="7" width="17.19921875" style="9" customWidth="1"/>
    <col min="8" max="8" width="13" style="9" customWidth="1"/>
    <col min="9" max="9" width="14.265625" style="9" customWidth="1"/>
    <col min="10" max="10" width="15.796875" style="9" customWidth="1"/>
    <col min="11" max="11" width="18.796875" style="9" bestFit="1" customWidth="1"/>
    <col min="12" max="12" width="16.19921875" style="15" customWidth="1"/>
    <col min="13" max="13" width="12.265625" style="9" customWidth="1"/>
    <col min="14" max="14" width="14.46484375" style="9" customWidth="1"/>
    <col min="15" max="15" width="16.19921875" style="16" customWidth="1"/>
    <col min="16" max="16" width="31.53125" style="9" customWidth="1"/>
    <col min="17" max="17" width="10.796875" style="1" customWidth="1"/>
    <col min="18" max="19" width="14.53125" style="9" customWidth="1"/>
    <col min="20" max="20" width="25.06640625" style="9" customWidth="1"/>
    <col min="21" max="21" width="12.265625" style="9" customWidth="1"/>
    <col min="22" max="22" width="5" style="39" customWidth="1"/>
    <col min="23" max="23" width="5.53125" style="39" customWidth="1"/>
    <col min="24" max="24" width="9.19921875" style="9" customWidth="1"/>
    <col min="25" max="27" width="6.53125" style="9" customWidth="1"/>
    <col min="28" max="35" width="21.53125" style="9" customWidth="1"/>
    <col min="36" max="16384" width="11.46484375" style="9"/>
  </cols>
  <sheetData>
    <row r="1" spans="1:23" ht="42" customHeight="1">
      <c r="A1" s="65" t="s">
        <v>8</v>
      </c>
      <c r="B1" s="65" t="s">
        <v>10</v>
      </c>
      <c r="C1" s="65" t="s">
        <v>11</v>
      </c>
      <c r="D1" s="65" t="s">
        <v>12</v>
      </c>
      <c r="E1" s="65" t="s">
        <v>13</v>
      </c>
      <c r="F1" s="65" t="s">
        <v>14</v>
      </c>
      <c r="G1" s="65" t="s">
        <v>15</v>
      </c>
      <c r="H1" s="65" t="s">
        <v>16</v>
      </c>
      <c r="I1" s="65" t="s">
        <v>17</v>
      </c>
      <c r="J1" s="65" t="s">
        <v>18</v>
      </c>
      <c r="K1" s="65" t="s">
        <v>19</v>
      </c>
      <c r="L1" s="66" t="s">
        <v>20</v>
      </c>
      <c r="M1" s="65" t="s">
        <v>21</v>
      </c>
      <c r="N1" s="65" t="s">
        <v>22</v>
      </c>
      <c r="O1" s="67" t="s">
        <v>23</v>
      </c>
      <c r="P1" s="68" t="s">
        <v>24</v>
      </c>
      <c r="R1" s="65" t="s">
        <v>50</v>
      </c>
      <c r="S1" s="65" t="s">
        <v>49</v>
      </c>
      <c r="T1" s="65" t="s">
        <v>57</v>
      </c>
      <c r="V1" s="41" t="s">
        <v>25</v>
      </c>
      <c r="W1" s="41" t="s">
        <v>26</v>
      </c>
    </row>
    <row r="2" spans="1:23" ht="24" customHeight="1">
      <c r="A2" s="98" t="s">
        <v>0</v>
      </c>
      <c r="B2" s="98" t="s">
        <v>85</v>
      </c>
      <c r="C2" s="111">
        <v>1</v>
      </c>
      <c r="D2" s="103">
        <v>987654321</v>
      </c>
      <c r="E2" s="103" t="s">
        <v>183</v>
      </c>
      <c r="F2" s="98" t="s">
        <v>177</v>
      </c>
      <c r="G2" s="98" t="s">
        <v>102</v>
      </c>
      <c r="H2" s="98">
        <v>112025</v>
      </c>
      <c r="I2" s="112">
        <v>45986</v>
      </c>
      <c r="J2" s="105">
        <v>45989</v>
      </c>
      <c r="K2" s="105" t="s">
        <v>101</v>
      </c>
      <c r="L2" s="107">
        <v>3952093</v>
      </c>
      <c r="M2" s="100">
        <v>180</v>
      </c>
      <c r="N2" s="108">
        <v>42</v>
      </c>
      <c r="O2" s="101">
        <v>922155</v>
      </c>
      <c r="P2" s="102" t="s">
        <v>173</v>
      </c>
      <c r="Q2" s="97"/>
      <c r="R2" s="100"/>
      <c r="S2" s="100"/>
      <c r="T2" s="110"/>
      <c r="U2" s="97"/>
      <c r="V2" s="104">
        <v>11</v>
      </c>
      <c r="W2" s="104">
        <v>2025</v>
      </c>
    </row>
    <row r="3" spans="1:23" ht="24" customHeight="1">
      <c r="A3" s="98" t="s">
        <v>0</v>
      </c>
      <c r="B3" s="98" t="s">
        <v>85</v>
      </c>
      <c r="C3" s="111">
        <v>1</v>
      </c>
      <c r="D3" s="103">
        <v>987654321</v>
      </c>
      <c r="E3" s="103" t="s">
        <v>183</v>
      </c>
      <c r="F3" s="98" t="s">
        <v>177</v>
      </c>
      <c r="G3" s="98" t="s">
        <v>102</v>
      </c>
      <c r="H3" s="98">
        <v>122025</v>
      </c>
      <c r="I3" s="105">
        <v>46021</v>
      </c>
      <c r="J3" s="105">
        <v>46021</v>
      </c>
      <c r="K3" s="105" t="s">
        <v>101</v>
      </c>
      <c r="L3" s="107">
        <v>3952093</v>
      </c>
      <c r="M3" s="100">
        <v>180</v>
      </c>
      <c r="N3" s="108">
        <v>800</v>
      </c>
      <c r="O3" s="101">
        <v>200000000003</v>
      </c>
      <c r="P3" s="102" t="s">
        <v>174</v>
      </c>
      <c r="Q3" s="97"/>
      <c r="R3" s="100"/>
      <c r="S3" s="100"/>
      <c r="T3" s="110"/>
      <c r="U3" s="97"/>
      <c r="V3" s="104">
        <v>12</v>
      </c>
      <c r="W3" s="104">
        <v>2025</v>
      </c>
    </row>
    <row r="4" spans="1:23" ht="24" customHeight="1">
      <c r="A4" s="98" t="s">
        <v>0</v>
      </c>
      <c r="B4" s="98" t="s">
        <v>27</v>
      </c>
      <c r="C4" s="111" t="s">
        <v>27</v>
      </c>
      <c r="D4" s="103"/>
      <c r="E4" s="98"/>
      <c r="F4" s="98"/>
      <c r="G4" s="98"/>
      <c r="H4" s="98"/>
      <c r="I4" s="99"/>
      <c r="J4" s="105"/>
      <c r="K4" s="105"/>
      <c r="L4" s="107"/>
      <c r="M4" s="100"/>
      <c r="N4" s="108"/>
      <c r="O4" s="101"/>
      <c r="P4" s="102"/>
      <c r="Q4" s="97"/>
      <c r="R4" s="100"/>
      <c r="S4" s="100"/>
      <c r="T4" s="110"/>
      <c r="U4" s="97"/>
      <c r="V4" s="104">
        <v>1</v>
      </c>
      <c r="W4" s="104">
        <v>1900</v>
      </c>
    </row>
    <row r="5" spans="1:23" ht="24" customHeight="1">
      <c r="A5" s="98" t="s">
        <v>0</v>
      </c>
      <c r="B5" s="98" t="s">
        <v>86</v>
      </c>
      <c r="C5" s="111">
        <v>2</v>
      </c>
      <c r="D5" s="103">
        <v>987654321</v>
      </c>
      <c r="E5" s="103" t="s">
        <v>184</v>
      </c>
      <c r="F5" s="98" t="s">
        <v>178</v>
      </c>
      <c r="G5" s="98" t="s">
        <v>102</v>
      </c>
      <c r="H5" s="98">
        <v>112025</v>
      </c>
      <c r="I5" s="105">
        <v>45989</v>
      </c>
      <c r="J5" s="105">
        <v>45989</v>
      </c>
      <c r="K5" s="105" t="s">
        <v>101</v>
      </c>
      <c r="L5" s="107">
        <v>2340708</v>
      </c>
      <c r="M5" s="100">
        <v>180</v>
      </c>
      <c r="N5" s="108">
        <v>126</v>
      </c>
      <c r="O5" s="101">
        <v>1638496</v>
      </c>
      <c r="P5" s="102" t="s">
        <v>173</v>
      </c>
      <c r="Q5" s="97"/>
      <c r="R5" s="100"/>
      <c r="S5" s="100"/>
      <c r="T5" s="110"/>
      <c r="U5" s="97"/>
      <c r="V5" s="104">
        <v>11</v>
      </c>
      <c r="W5" s="104">
        <v>2025</v>
      </c>
    </row>
    <row r="6" spans="1:23" ht="24" customHeight="1">
      <c r="A6" s="98" t="s">
        <v>0</v>
      </c>
      <c r="B6" s="98" t="s">
        <v>86</v>
      </c>
      <c r="C6" s="111">
        <v>2</v>
      </c>
      <c r="D6" s="103">
        <v>987654321</v>
      </c>
      <c r="E6" s="103" t="s">
        <v>184</v>
      </c>
      <c r="F6" s="98" t="s">
        <v>178</v>
      </c>
      <c r="G6" s="98" t="s">
        <v>102</v>
      </c>
      <c r="H6" s="98">
        <v>122025</v>
      </c>
      <c r="I6" s="99">
        <v>46021</v>
      </c>
      <c r="J6" s="105">
        <v>46021</v>
      </c>
      <c r="K6" s="105" t="s">
        <v>101</v>
      </c>
      <c r="L6" s="107">
        <v>2340708</v>
      </c>
      <c r="M6" s="100">
        <v>180</v>
      </c>
      <c r="N6" s="108">
        <v>126</v>
      </c>
      <c r="O6" s="101">
        <v>1638496</v>
      </c>
      <c r="P6" s="102" t="s">
        <v>174</v>
      </c>
      <c r="Q6" s="97"/>
      <c r="R6" s="100"/>
      <c r="S6" s="100"/>
      <c r="T6" s="110"/>
      <c r="U6" s="97"/>
      <c r="V6" s="104">
        <v>12</v>
      </c>
      <c r="W6" s="104">
        <v>2025</v>
      </c>
    </row>
    <row r="7" spans="1:23" ht="24" customHeight="1">
      <c r="A7" s="98" t="s">
        <v>0</v>
      </c>
      <c r="B7" s="98" t="s">
        <v>27</v>
      </c>
      <c r="C7" s="111" t="s">
        <v>27</v>
      </c>
      <c r="D7" s="103"/>
      <c r="E7" s="103"/>
      <c r="F7" s="98"/>
      <c r="G7" s="98"/>
      <c r="H7" s="98"/>
      <c r="I7" s="99"/>
      <c r="J7" s="99"/>
      <c r="K7" s="99"/>
      <c r="L7" s="106"/>
      <c r="M7" s="100"/>
      <c r="N7" s="108"/>
      <c r="O7" s="101"/>
      <c r="P7" s="102"/>
      <c r="Q7" s="97"/>
      <c r="R7" s="100"/>
      <c r="S7" s="100"/>
      <c r="T7" s="110"/>
      <c r="U7" s="97"/>
      <c r="V7" s="104">
        <v>1</v>
      </c>
      <c r="W7" s="104">
        <v>1900</v>
      </c>
    </row>
    <row r="8" spans="1:23" ht="24" customHeight="1">
      <c r="A8" s="98" t="s">
        <v>0</v>
      </c>
      <c r="B8" s="98" t="s">
        <v>86</v>
      </c>
      <c r="C8" s="111">
        <v>3</v>
      </c>
      <c r="D8" s="103">
        <v>987654321</v>
      </c>
      <c r="E8" s="103" t="s">
        <v>185</v>
      </c>
      <c r="F8" s="98" t="s">
        <v>179</v>
      </c>
      <c r="G8" s="98" t="s">
        <v>102</v>
      </c>
      <c r="H8" s="98">
        <v>112025</v>
      </c>
      <c r="I8" s="99">
        <v>45989</v>
      </c>
      <c r="J8" s="105">
        <v>45989</v>
      </c>
      <c r="K8" s="105" t="s">
        <v>101</v>
      </c>
      <c r="L8" s="106">
        <v>2359239</v>
      </c>
      <c r="M8" s="100">
        <v>150</v>
      </c>
      <c r="N8" s="108">
        <v>126</v>
      </c>
      <c r="O8" s="101">
        <v>20</v>
      </c>
      <c r="P8" s="102" t="s">
        <v>173</v>
      </c>
      <c r="Q8" s="97"/>
      <c r="R8" s="100"/>
      <c r="S8" s="100"/>
      <c r="T8" s="110"/>
      <c r="U8" s="97"/>
      <c r="V8" s="104">
        <v>11</v>
      </c>
      <c r="W8" s="104">
        <v>2025</v>
      </c>
    </row>
    <row r="9" spans="1:23" ht="24" customHeight="1">
      <c r="A9" s="98" t="s">
        <v>0</v>
      </c>
      <c r="B9" s="98" t="s">
        <v>86</v>
      </c>
      <c r="C9" s="111">
        <v>3</v>
      </c>
      <c r="D9" s="103">
        <v>987654321</v>
      </c>
      <c r="E9" s="103" t="s">
        <v>185</v>
      </c>
      <c r="F9" s="98" t="s">
        <v>179</v>
      </c>
      <c r="G9" s="98" t="s">
        <v>102</v>
      </c>
      <c r="H9" s="98">
        <v>122025</v>
      </c>
      <c r="I9" s="105">
        <v>46021</v>
      </c>
      <c r="J9" s="105">
        <v>46021</v>
      </c>
      <c r="K9" s="105" t="s">
        <v>101</v>
      </c>
      <c r="L9" s="106">
        <v>2359239</v>
      </c>
      <c r="M9" s="100">
        <v>180</v>
      </c>
      <c r="N9" s="108">
        <v>126</v>
      </c>
      <c r="O9" s="101">
        <v>1651467</v>
      </c>
      <c r="P9" s="102" t="s">
        <v>174</v>
      </c>
      <c r="Q9" s="97"/>
      <c r="R9" s="100"/>
      <c r="S9" s="100"/>
      <c r="T9" s="110"/>
      <c r="U9" s="97"/>
      <c r="V9" s="104">
        <v>12</v>
      </c>
      <c r="W9" s="104">
        <v>2025</v>
      </c>
    </row>
    <row r="10" spans="1:23" ht="24" customHeight="1">
      <c r="A10" s="98" t="s">
        <v>0</v>
      </c>
      <c r="B10" s="98" t="s">
        <v>27</v>
      </c>
      <c r="C10" s="111" t="s">
        <v>27</v>
      </c>
      <c r="D10" s="103"/>
      <c r="E10" s="103"/>
      <c r="F10" s="98"/>
      <c r="G10" s="98"/>
      <c r="H10" s="98"/>
      <c r="I10" s="99"/>
      <c r="J10" s="109"/>
      <c r="K10" s="99"/>
      <c r="L10" s="106"/>
      <c r="M10" s="100"/>
      <c r="N10" s="108"/>
      <c r="O10" s="101"/>
      <c r="P10" s="102"/>
      <c r="Q10" s="97"/>
      <c r="R10" s="100"/>
      <c r="S10" s="100"/>
      <c r="T10" s="110"/>
      <c r="U10" s="97"/>
      <c r="V10" s="104">
        <v>1</v>
      </c>
      <c r="W10" s="104">
        <v>1900</v>
      </c>
    </row>
    <row r="11" spans="1:23" ht="24" customHeight="1">
      <c r="A11" s="98" t="s">
        <v>0</v>
      </c>
      <c r="B11" s="98" t="s">
        <v>86</v>
      </c>
      <c r="C11" s="111">
        <v>4</v>
      </c>
      <c r="D11" s="103">
        <v>987654321</v>
      </c>
      <c r="E11" s="103" t="s">
        <v>186</v>
      </c>
      <c r="F11" s="98" t="s">
        <v>180</v>
      </c>
      <c r="G11" s="98" t="s">
        <v>175</v>
      </c>
      <c r="H11" s="98">
        <v>112025</v>
      </c>
      <c r="I11" s="99">
        <v>45989</v>
      </c>
      <c r="J11" s="105">
        <v>45989</v>
      </c>
      <c r="K11" s="105" t="s">
        <v>101</v>
      </c>
      <c r="L11" s="106">
        <v>1855929</v>
      </c>
      <c r="M11" s="100">
        <v>180</v>
      </c>
      <c r="N11" s="108">
        <v>126</v>
      </c>
      <c r="O11" s="101">
        <v>1299150</v>
      </c>
      <c r="P11" s="102" t="s">
        <v>173</v>
      </c>
      <c r="Q11" s="97"/>
      <c r="R11" s="100"/>
      <c r="S11" s="100"/>
      <c r="T11" s="110"/>
      <c r="U11" s="97"/>
      <c r="V11" s="104">
        <v>11</v>
      </c>
      <c r="W11" s="104">
        <v>2025</v>
      </c>
    </row>
    <row r="12" spans="1:23" ht="24" customHeight="1">
      <c r="A12" s="98" t="s">
        <v>0</v>
      </c>
      <c r="B12" s="98" t="s">
        <v>86</v>
      </c>
      <c r="C12" s="111">
        <v>4</v>
      </c>
      <c r="D12" s="103">
        <v>987654321</v>
      </c>
      <c r="E12" s="103" t="s">
        <v>186</v>
      </c>
      <c r="F12" s="98" t="s">
        <v>180</v>
      </c>
      <c r="G12" s="98" t="s">
        <v>102</v>
      </c>
      <c r="H12" s="98">
        <v>122025</v>
      </c>
      <c r="I12" s="99">
        <v>46021</v>
      </c>
      <c r="J12" s="105">
        <v>46021</v>
      </c>
      <c r="K12" s="105" t="s">
        <v>101</v>
      </c>
      <c r="L12" s="106">
        <v>1855929</v>
      </c>
      <c r="M12" s="100">
        <v>180</v>
      </c>
      <c r="N12" s="108">
        <v>126</v>
      </c>
      <c r="O12" s="101">
        <v>1299150</v>
      </c>
      <c r="P12" s="102" t="s">
        <v>174</v>
      </c>
      <c r="Q12" s="97"/>
      <c r="R12" s="100"/>
      <c r="S12" s="100"/>
      <c r="T12" s="110"/>
      <c r="U12" s="97"/>
      <c r="V12" s="104">
        <v>12</v>
      </c>
      <c r="W12" s="104">
        <v>2025</v>
      </c>
    </row>
    <row r="13" spans="1:23" ht="24" customHeight="1">
      <c r="A13" s="98" t="s">
        <v>0</v>
      </c>
      <c r="B13" s="98" t="s">
        <v>27</v>
      </c>
      <c r="C13" s="111" t="s">
        <v>27</v>
      </c>
      <c r="D13" s="103"/>
      <c r="E13" s="103"/>
      <c r="F13" s="98"/>
      <c r="G13" s="98"/>
      <c r="H13" s="98"/>
      <c r="I13" s="99"/>
      <c r="J13" s="99"/>
      <c r="K13" s="99"/>
      <c r="L13" s="106"/>
      <c r="M13" s="100"/>
      <c r="N13" s="108"/>
      <c r="O13" s="101"/>
      <c r="P13" s="102"/>
      <c r="Q13" s="97"/>
      <c r="R13" s="100"/>
      <c r="S13" s="100"/>
      <c r="T13" s="110"/>
      <c r="U13" s="97"/>
      <c r="V13" s="104">
        <v>1</v>
      </c>
      <c r="W13" s="104">
        <v>1900</v>
      </c>
    </row>
    <row r="14" spans="1:23" ht="24" customHeight="1">
      <c r="A14" s="98" t="s">
        <v>0</v>
      </c>
      <c r="B14" s="98" t="s">
        <v>176</v>
      </c>
      <c r="C14" s="111">
        <v>5</v>
      </c>
      <c r="D14" s="103">
        <v>987654321</v>
      </c>
      <c r="E14" s="103" t="s">
        <v>187</v>
      </c>
      <c r="F14" s="98" t="s">
        <v>181</v>
      </c>
      <c r="G14" s="98" t="s">
        <v>175</v>
      </c>
      <c r="H14" s="98">
        <v>112025</v>
      </c>
      <c r="I14" s="99">
        <v>45989</v>
      </c>
      <c r="J14" s="105">
        <v>45989</v>
      </c>
      <c r="K14" s="105" t="s">
        <v>101</v>
      </c>
      <c r="L14" s="106">
        <v>2303499</v>
      </c>
      <c r="M14" s="100">
        <v>180</v>
      </c>
      <c r="N14" s="108">
        <v>42</v>
      </c>
      <c r="O14" s="101">
        <v>537483</v>
      </c>
      <c r="P14" s="102" t="s">
        <v>173</v>
      </c>
      <c r="Q14" s="97"/>
      <c r="R14" s="100"/>
      <c r="S14" s="100"/>
      <c r="T14" s="110"/>
      <c r="U14" s="97"/>
      <c r="V14" s="104">
        <v>11</v>
      </c>
      <c r="W14" s="104">
        <v>2025</v>
      </c>
    </row>
    <row r="15" spans="1:23" ht="24" customHeight="1">
      <c r="A15" s="98" t="s">
        <v>0</v>
      </c>
      <c r="B15" s="98" t="s">
        <v>176</v>
      </c>
      <c r="C15" s="111">
        <v>5</v>
      </c>
      <c r="D15" s="103">
        <v>987654321</v>
      </c>
      <c r="E15" s="103" t="s">
        <v>187</v>
      </c>
      <c r="F15" s="98" t="s">
        <v>181</v>
      </c>
      <c r="G15" s="98" t="s">
        <v>102</v>
      </c>
      <c r="H15" s="98">
        <v>122025</v>
      </c>
      <c r="I15" s="99">
        <v>46021</v>
      </c>
      <c r="J15" s="105">
        <v>46021</v>
      </c>
      <c r="K15" s="105" t="s">
        <v>101</v>
      </c>
      <c r="L15" s="106">
        <v>2163892</v>
      </c>
      <c r="M15" s="100">
        <v>168</v>
      </c>
      <c r="N15" s="108">
        <v>42</v>
      </c>
      <c r="O15" s="101">
        <v>540973</v>
      </c>
      <c r="P15" s="102" t="s">
        <v>174</v>
      </c>
      <c r="Q15" s="97"/>
      <c r="R15" s="100"/>
      <c r="S15" s="100"/>
      <c r="T15" s="110"/>
      <c r="U15" s="97"/>
      <c r="V15" s="104">
        <v>12</v>
      </c>
      <c r="W15" s="104">
        <v>2025</v>
      </c>
    </row>
    <row r="16" spans="1:23" ht="24" customHeight="1">
      <c r="A16" s="98" t="s">
        <v>0</v>
      </c>
      <c r="B16" s="98" t="s">
        <v>27</v>
      </c>
      <c r="C16" s="111" t="s">
        <v>27</v>
      </c>
      <c r="D16" s="103"/>
      <c r="E16" s="103"/>
      <c r="F16" s="98"/>
      <c r="G16" s="98"/>
      <c r="H16" s="98"/>
      <c r="I16" s="99"/>
      <c r="J16" s="109"/>
      <c r="K16" s="99"/>
      <c r="L16" s="106"/>
      <c r="M16" s="100"/>
      <c r="N16" s="108"/>
      <c r="O16" s="101"/>
      <c r="P16" s="102"/>
      <c r="Q16" s="97"/>
      <c r="R16" s="100"/>
      <c r="S16" s="100"/>
      <c r="T16" s="110"/>
      <c r="U16" s="97"/>
      <c r="V16" s="104">
        <v>1</v>
      </c>
      <c r="W16" s="104">
        <v>1900</v>
      </c>
    </row>
    <row r="17" spans="1:23" ht="24" customHeight="1">
      <c r="A17" s="98" t="s">
        <v>0</v>
      </c>
      <c r="B17" s="98" t="s">
        <v>176</v>
      </c>
      <c r="C17" s="111">
        <v>6</v>
      </c>
      <c r="D17" s="103">
        <v>987654321</v>
      </c>
      <c r="E17" s="103" t="s">
        <v>188</v>
      </c>
      <c r="F17" s="98" t="s">
        <v>182</v>
      </c>
      <c r="G17" s="98" t="s">
        <v>175</v>
      </c>
      <c r="H17" s="98">
        <v>112025</v>
      </c>
      <c r="I17" s="99">
        <v>45989</v>
      </c>
      <c r="J17" s="105">
        <v>45989</v>
      </c>
      <c r="K17" s="105" t="s">
        <v>101</v>
      </c>
      <c r="L17" s="106">
        <v>2158685</v>
      </c>
      <c r="M17" s="100">
        <v>180</v>
      </c>
      <c r="N17" s="108">
        <v>42</v>
      </c>
      <c r="O17" s="101">
        <v>503693</v>
      </c>
      <c r="P17" s="102" t="s">
        <v>173</v>
      </c>
      <c r="Q17" s="97"/>
      <c r="R17" s="100"/>
      <c r="S17" s="100"/>
      <c r="T17" s="110"/>
      <c r="U17" s="97"/>
      <c r="V17" s="104">
        <v>11</v>
      </c>
      <c r="W17" s="104">
        <v>2025</v>
      </c>
    </row>
    <row r="18" spans="1:23" ht="24" customHeight="1">
      <c r="A18" s="98" t="s">
        <v>0</v>
      </c>
      <c r="B18" s="98" t="s">
        <v>176</v>
      </c>
      <c r="C18" s="111">
        <v>6</v>
      </c>
      <c r="D18" s="103">
        <v>987654321</v>
      </c>
      <c r="E18" s="103" t="s">
        <v>188</v>
      </c>
      <c r="F18" s="98" t="s">
        <v>182</v>
      </c>
      <c r="G18" s="98" t="s">
        <v>102</v>
      </c>
      <c r="H18" s="98">
        <v>122025</v>
      </c>
      <c r="I18" s="99">
        <v>46021</v>
      </c>
      <c r="J18" s="105">
        <v>46021</v>
      </c>
      <c r="K18" s="105" t="s">
        <v>101</v>
      </c>
      <c r="L18" s="106">
        <v>2158685</v>
      </c>
      <c r="M18" s="100">
        <v>180</v>
      </c>
      <c r="N18" s="108">
        <v>42</v>
      </c>
      <c r="O18" s="101">
        <v>503693</v>
      </c>
      <c r="P18" s="102" t="s">
        <v>174</v>
      </c>
      <c r="Q18" s="97"/>
      <c r="R18" s="100"/>
      <c r="S18" s="100"/>
      <c r="T18" s="110"/>
      <c r="U18" s="97"/>
      <c r="V18" s="104">
        <v>12</v>
      </c>
      <c r="W18" s="104">
        <v>2025</v>
      </c>
    </row>
    <row r="19" spans="1:23" ht="24" customHeight="1">
      <c r="A19" s="98" t="s">
        <v>0</v>
      </c>
      <c r="B19" s="98" t="s">
        <v>27</v>
      </c>
      <c r="C19" s="111" t="s">
        <v>27</v>
      </c>
      <c r="D19" s="98"/>
      <c r="E19" s="98"/>
      <c r="F19" s="98"/>
      <c r="G19" s="98"/>
      <c r="H19" s="98"/>
      <c r="I19" s="99"/>
      <c r="J19" s="99"/>
      <c r="K19" s="99"/>
      <c r="L19" s="106"/>
      <c r="M19" s="100"/>
      <c r="N19" s="108"/>
      <c r="O19" s="101"/>
      <c r="P19" s="102"/>
      <c r="Q19" s="97"/>
      <c r="R19" s="100"/>
      <c r="S19" s="100"/>
      <c r="T19" s="110"/>
      <c r="U19" s="97"/>
      <c r="V19" s="104">
        <v>1</v>
      </c>
      <c r="W19" s="104">
        <v>1900</v>
      </c>
    </row>
    <row r="20" spans="1:23" ht="24" customHeight="1">
      <c r="A20" s="98" t="s">
        <v>0</v>
      </c>
      <c r="B20" s="98" t="s">
        <v>27</v>
      </c>
      <c r="C20" s="111" t="s">
        <v>27</v>
      </c>
      <c r="D20" s="98"/>
      <c r="E20" s="98"/>
      <c r="F20" s="98"/>
      <c r="G20" s="98"/>
      <c r="H20" s="98"/>
      <c r="I20" s="99"/>
      <c r="J20" s="99"/>
      <c r="K20" s="99"/>
      <c r="L20" s="106"/>
      <c r="M20" s="100"/>
      <c r="N20" s="108"/>
      <c r="O20" s="101"/>
      <c r="P20" s="102"/>
      <c r="Q20" s="97"/>
      <c r="R20" s="100"/>
      <c r="S20" s="100"/>
      <c r="T20" s="110"/>
      <c r="U20" s="97"/>
      <c r="V20" s="104">
        <v>1</v>
      </c>
      <c r="W20" s="104">
        <v>1900</v>
      </c>
    </row>
    <row r="21" spans="1:23" ht="24" customHeight="1">
      <c r="A21" s="20"/>
      <c r="B21" s="20"/>
      <c r="C21" s="80"/>
      <c r="D21" s="20"/>
      <c r="E21" s="20"/>
      <c r="F21" s="20"/>
      <c r="G21" s="20"/>
      <c r="H21" s="20"/>
      <c r="I21" s="21"/>
      <c r="J21" s="63"/>
      <c r="K21" s="63"/>
      <c r="L21" s="82"/>
      <c r="M21" s="69"/>
      <c r="N21" s="69"/>
      <c r="O21" s="23"/>
      <c r="P21" s="24"/>
      <c r="R21" s="22"/>
      <c r="S21" s="22"/>
      <c r="T21" s="77"/>
    </row>
    <row r="22" spans="1:23" ht="24" customHeight="1">
      <c r="A22" s="20"/>
      <c r="B22" s="20"/>
      <c r="C22" s="80"/>
      <c r="D22" s="20"/>
      <c r="E22" s="20"/>
      <c r="F22" s="20"/>
      <c r="G22" s="20"/>
      <c r="H22" s="20"/>
      <c r="I22" s="21"/>
      <c r="J22" s="63"/>
      <c r="K22" s="63"/>
      <c r="L22" s="82"/>
      <c r="M22" s="69"/>
      <c r="N22" s="69"/>
      <c r="O22" s="23"/>
      <c r="P22" s="24"/>
      <c r="R22" s="22"/>
      <c r="S22" s="22"/>
      <c r="T22" s="77"/>
    </row>
    <row r="23" spans="1:23" ht="25.05" customHeight="1">
      <c r="A23" s="26" t="s">
        <v>9</v>
      </c>
      <c r="B23" s="26"/>
      <c r="C23" s="26"/>
      <c r="D23" s="26"/>
      <c r="E23" s="26"/>
      <c r="F23" s="26"/>
      <c r="G23" s="26"/>
      <c r="H23" s="26"/>
      <c r="I23" s="26"/>
      <c r="J23" s="26"/>
      <c r="K23" s="26"/>
      <c r="L23" s="27">
        <f>SUBTOTAL(109,RRHH!$L$2:$L$2)</f>
        <v>3952093</v>
      </c>
      <c r="M23" s="28"/>
      <c r="N23" s="28">
        <f>SUBTOTAL(109,RRHH!$N$2:$N$2)</f>
        <v>42</v>
      </c>
      <c r="O23" s="27">
        <f>SUM(O2:O2)</f>
        <v>922155</v>
      </c>
      <c r="P23" s="29"/>
      <c r="R23" s="78"/>
      <c r="S23" s="78"/>
      <c r="T23" s="79"/>
      <c r="V23" s="39">
        <f>MONTH(RRHH!$J23)</f>
        <v>1</v>
      </c>
      <c r="W23" s="39">
        <f>YEAR(RRHH!$J23)</f>
        <v>1900</v>
      </c>
    </row>
    <row r="24" spans="1:23" ht="25.05" customHeight="1">
      <c r="A24" s="10"/>
      <c r="B24" s="10"/>
      <c r="C24" s="10"/>
      <c r="D24" s="10"/>
      <c r="E24" s="10"/>
      <c r="F24" s="10"/>
      <c r="G24" s="10"/>
      <c r="H24" s="10"/>
      <c r="I24" s="11"/>
      <c r="J24" s="11"/>
      <c r="K24" s="11"/>
      <c r="L24" s="12"/>
      <c r="M24" s="13"/>
      <c r="N24" s="13"/>
      <c r="O24" s="14"/>
      <c r="P24" s="10"/>
      <c r="V24" s="39">
        <f>MONTH(RRHH!$J24)</f>
        <v>1</v>
      </c>
      <c r="W24" s="39">
        <f>YEAR(RRHH!$J24)</f>
        <v>1900</v>
      </c>
    </row>
  </sheetData>
  <dataValidations xWindow="171" yWindow="258" count="6">
    <dataValidation type="list" allowBlank="1" showInputMessage="1" showErrorMessage="1" sqref="G2:G22" xr:uid="{00000000-0002-0000-0500-000000000000}">
      <formula1>TIPO_DE_DOCUMENTOS_RRHH</formula1>
    </dataValidation>
    <dataValidation type="list" allowBlank="1" showInputMessage="1" showErrorMessage="1" sqref="K2:K22" xr:uid="{78192154-AF52-4DC9-BCA8-B313EB5D3806}">
      <formula1>" Disponible!$B$54:$B$56"</formula1>
    </dataValidation>
    <dataValidation allowBlank="1" showInputMessage="1" showErrorMessage="1" prompt="Se debe ingresar el RUT de la empresa sin puntos ni guión. En el caso de ser terminado en K se incluye, ejemplo: 99999999k" sqref="E2:E3 E5:E18 D2:D22" xr:uid="{CC299C20-B602-4CBD-8BDA-553368477558}"/>
    <dataValidation type="list" allowBlank="1" showInputMessage="1" showErrorMessage="1" sqref="A2:A22" xr:uid="{00000000-0002-0000-0500-000002000000}">
      <formula1>CUENTAS</formula1>
    </dataValidation>
    <dataValidation allowBlank="1" showInputMessage="1" showErrorMessage="1" prompt="Se debe ingresar el RUT del recurso humano sin puntos ni guión. En el caso de ser terminado en K se incluye, ejemplo: 99999999k" sqref="E19:E22 E4" xr:uid="{C4C3EE1C-5FA6-4295-9450-0B489004B1B0}"/>
    <dataValidation type="list" allowBlank="1" showInputMessage="1" showErrorMessage="1" sqref="R2:S23" xr:uid="{7A2D117B-6754-440A-A05B-44047FD19EC8}">
      <formula1>"OK, PENDIENTE, CON OBSERVACIONES"</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ellIs" priority="3" operator="equal" id="{17F5DDEF-178F-47B1-8FC2-A76F70A8335C}">
            <xm:f>#REF!</xm:f>
            <x14:dxf>
              <font>
                <color rgb="FF006100"/>
              </font>
              <fill>
                <patternFill>
                  <bgColor rgb="FFC6EFCE"/>
                </patternFill>
              </fill>
            </x14:dxf>
          </x14:cfRule>
          <xm:sqref>D2:D22</xm:sqref>
        </x14:conditionalFormatting>
        <x14:conditionalFormatting xmlns:xm="http://schemas.microsoft.com/office/excel/2006/main">
          <x14:cfRule type="cellIs" priority="2" operator="equal" id="{0B1E5388-40AE-44EF-9C47-87007894E37D}">
            <xm:f>#REF!</xm:f>
            <x14:dxf>
              <font>
                <color rgb="FF006100"/>
              </font>
              <fill>
                <patternFill>
                  <bgColor rgb="FFC6EFCE"/>
                </patternFill>
              </fill>
            </x14:dxf>
          </x14:cfRule>
          <xm:sqref>E5:E18</xm:sqref>
        </x14:conditionalFormatting>
        <x14:conditionalFormatting xmlns:xm="http://schemas.microsoft.com/office/excel/2006/main">
          <x14:cfRule type="cellIs" priority="1" operator="equal" id="{2E82089D-B39B-4614-A847-CFDF3947F6FD}">
            <xm:f>#REF!</xm:f>
            <x14:dxf>
              <font>
                <color rgb="FF006100"/>
              </font>
              <fill>
                <patternFill>
                  <bgColor rgb="FFC6EFCE"/>
                </patternFill>
              </fill>
            </x14:dxf>
          </x14:cfRule>
          <xm:sqref>E2:E3</xm:sqref>
        </x14:conditionalFormatting>
      </x14:conditionalFormattings>
    </ext>
    <ext xmlns:x14="http://schemas.microsoft.com/office/spreadsheetml/2009/9/main" uri="{CCE6A557-97BC-4b89-ADB6-D9C93CAAB3DF}">
      <x14:dataValidations xmlns:xm="http://schemas.microsoft.com/office/excel/2006/main" xWindow="171" yWindow="258" count="1">
        <x14:dataValidation type="list" allowBlank="1" showInputMessage="1" showErrorMessage="1" xr:uid="{00000000-0002-0000-0500-000003000000}">
          <x14:formula1>
            <xm:f>#REF!</xm:f>
          </x14:formula1>
          <xm:sqref>F4 F7 F10 F13 F16 F19:F22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X76"/>
  <sheetViews>
    <sheetView showGridLines="0" topLeftCell="D1" zoomScale="80" zoomScaleNormal="80" workbookViewId="0">
      <pane ySplit="1" topLeftCell="A2" activePane="bottomLeft" state="frozen"/>
      <selection pane="bottomLeft" activeCell="N79" sqref="N1:N79"/>
    </sheetView>
  </sheetViews>
  <sheetFormatPr defaultColWidth="11.46484375" defaultRowHeight="25.05" customHeight="1"/>
  <cols>
    <col min="1" max="1" width="17.19921875" style="9" bestFit="1" customWidth="1"/>
    <col min="2" max="2" width="29.19921875" style="9" customWidth="1"/>
    <col min="3" max="3" width="14" style="9" customWidth="1"/>
    <col min="4" max="4" width="17.19921875" style="9" customWidth="1"/>
    <col min="5" max="5" width="15.53125" style="9" customWidth="1"/>
    <col min="6" max="6" width="21.796875" style="9" customWidth="1"/>
    <col min="7" max="7" width="13.73046875" style="9" customWidth="1"/>
    <col min="8" max="8" width="13.265625" style="9" customWidth="1"/>
    <col min="9" max="11" width="16.73046875" style="18" customWidth="1"/>
    <col min="12" max="12" width="15.265625" style="15" customWidth="1"/>
    <col min="13" max="13" width="19.19921875" style="15" customWidth="1"/>
    <col min="14" max="14" width="40" style="9" customWidth="1"/>
    <col min="15" max="15" width="11.46484375" style="9"/>
    <col min="16" max="16" width="11" style="9" customWidth="1"/>
    <col min="17" max="17" width="11.796875" style="9" customWidth="1"/>
    <col min="18" max="19" width="12.265625" style="9" customWidth="1"/>
    <col min="20" max="20" width="5.265625" style="39" bestFit="1" customWidth="1"/>
    <col min="21" max="21" width="5.53125" style="39" bestFit="1" customWidth="1"/>
    <col min="22" max="22" width="11.46484375" style="9" customWidth="1"/>
    <col min="23" max="23" width="37.73046875" style="9" bestFit="1" customWidth="1"/>
    <col min="24" max="24" width="28.59765625" style="9" customWidth="1"/>
    <col min="25" max="25" width="19.265625" style="9" customWidth="1"/>
    <col min="26" max="26" width="75.73046875" style="9" bestFit="1" customWidth="1"/>
    <col min="27" max="16384" width="11.46484375" style="9"/>
  </cols>
  <sheetData>
    <row r="1" spans="1:24" ht="37.5" customHeight="1">
      <c r="A1" s="65" t="s">
        <v>8</v>
      </c>
      <c r="B1" s="65" t="s">
        <v>10</v>
      </c>
      <c r="C1" s="65" t="s">
        <v>7</v>
      </c>
      <c r="D1" s="65" t="s">
        <v>12</v>
      </c>
      <c r="E1" s="65" t="s">
        <v>28</v>
      </c>
      <c r="F1" s="65" t="s">
        <v>29</v>
      </c>
      <c r="G1" s="65" t="s">
        <v>15</v>
      </c>
      <c r="H1" s="65" t="s">
        <v>16</v>
      </c>
      <c r="I1" s="65" t="s">
        <v>30</v>
      </c>
      <c r="J1" s="65" t="s">
        <v>31</v>
      </c>
      <c r="K1" s="65" t="s">
        <v>19</v>
      </c>
      <c r="L1" s="65" t="s">
        <v>32</v>
      </c>
      <c r="M1" s="65" t="s">
        <v>23</v>
      </c>
      <c r="N1" s="65" t="s">
        <v>33</v>
      </c>
      <c r="P1" s="65" t="s">
        <v>50</v>
      </c>
      <c r="Q1" s="65" t="s">
        <v>49</v>
      </c>
      <c r="R1" s="65" t="s">
        <v>57</v>
      </c>
      <c r="T1" s="41" t="s">
        <v>25</v>
      </c>
      <c r="U1" s="41" t="s">
        <v>26</v>
      </c>
      <c r="W1" s="9" t="s">
        <v>84</v>
      </c>
      <c r="X1" s="9" t="s">
        <v>84</v>
      </c>
    </row>
    <row r="2" spans="1:24" ht="25.05" customHeight="1">
      <c r="A2" s="20" t="s">
        <v>4</v>
      </c>
      <c r="B2" s="20" t="s">
        <v>87</v>
      </c>
      <c r="C2" s="80" t="str">
        <f>IFERROR(VLOOKUP(B2,#REF!,5,FALSE),"")</f>
        <v/>
      </c>
      <c r="D2" s="20">
        <v>987654321</v>
      </c>
      <c r="E2" s="20">
        <v>737738897</v>
      </c>
      <c r="F2" s="20" t="s">
        <v>189</v>
      </c>
      <c r="G2" s="20" t="s">
        <v>103</v>
      </c>
      <c r="H2" s="20">
        <v>994322</v>
      </c>
      <c r="I2" s="83">
        <v>45754</v>
      </c>
      <c r="J2" s="84">
        <v>45806</v>
      </c>
      <c r="K2" s="21" t="s">
        <v>101</v>
      </c>
      <c r="L2" s="30">
        <v>29630255</v>
      </c>
      <c r="M2" s="30">
        <v>29630255</v>
      </c>
      <c r="N2" s="62" t="s">
        <v>104</v>
      </c>
      <c r="P2" s="22"/>
      <c r="Q2" s="22"/>
      <c r="R2" s="77"/>
      <c r="T2" s="40">
        <f>MONTH('Gastos de Operación'!$J2)</f>
        <v>5</v>
      </c>
      <c r="U2" s="39">
        <f>YEAR('Gastos de Operación'!$J2)</f>
        <v>2025</v>
      </c>
    </row>
    <row r="3" spans="1:24" ht="25.05" customHeight="1">
      <c r="A3" s="20" t="s">
        <v>4</v>
      </c>
      <c r="B3" s="20" t="s">
        <v>87</v>
      </c>
      <c r="C3" s="80" t="str">
        <f>IFERROR(VLOOKUP(B3,#REF!,5,FALSE),"")</f>
        <v/>
      </c>
      <c r="D3" s="98">
        <v>987654321</v>
      </c>
      <c r="E3" s="20">
        <v>933838778</v>
      </c>
      <c r="F3" s="20" t="s">
        <v>190</v>
      </c>
      <c r="G3" s="20" t="s">
        <v>103</v>
      </c>
      <c r="H3" s="20">
        <v>2101286</v>
      </c>
      <c r="I3" s="83">
        <v>45755</v>
      </c>
      <c r="J3" s="84">
        <v>45820</v>
      </c>
      <c r="K3" s="21" t="s">
        <v>101</v>
      </c>
      <c r="L3" s="30">
        <v>18923265</v>
      </c>
      <c r="M3" s="30">
        <v>18923265</v>
      </c>
      <c r="N3" s="62" t="s">
        <v>105</v>
      </c>
      <c r="P3" s="22"/>
      <c r="Q3" s="22"/>
      <c r="R3" s="77"/>
      <c r="T3" s="40">
        <f>MONTH('Gastos de Operación'!$J3)</f>
        <v>6</v>
      </c>
      <c r="U3" s="39">
        <f>YEAR('Gastos de Operación'!$J3)</f>
        <v>2025</v>
      </c>
    </row>
    <row r="4" spans="1:24" ht="25.05" customHeight="1">
      <c r="A4" s="20" t="s">
        <v>4</v>
      </c>
      <c r="B4" s="20" t="s">
        <v>87</v>
      </c>
      <c r="C4" s="80" t="str">
        <f>IFERROR(VLOOKUP(B4,#REF!,5,FALSE),"")</f>
        <v/>
      </c>
      <c r="D4" s="98">
        <v>987654321</v>
      </c>
      <c r="E4" s="20">
        <v>773773779</v>
      </c>
      <c r="F4" s="20" t="s">
        <v>191</v>
      </c>
      <c r="G4" s="20" t="s">
        <v>100</v>
      </c>
      <c r="H4" s="20">
        <v>220</v>
      </c>
      <c r="I4" s="83">
        <v>45757</v>
      </c>
      <c r="J4" s="84">
        <v>45786</v>
      </c>
      <c r="K4" s="21" t="s">
        <v>101</v>
      </c>
      <c r="L4" s="30">
        <v>12856961</v>
      </c>
      <c r="M4" s="30">
        <v>12856961</v>
      </c>
      <c r="N4" s="62" t="s">
        <v>106</v>
      </c>
      <c r="P4" s="22"/>
      <c r="Q4" s="22"/>
      <c r="R4" s="77"/>
      <c r="T4" s="40">
        <f>MONTH('Gastos de Operación'!$J4)</f>
        <v>5</v>
      </c>
      <c r="U4" s="39">
        <f>YEAR('Gastos de Operación'!$J4)</f>
        <v>2025</v>
      </c>
    </row>
    <row r="5" spans="1:24" ht="25.05" customHeight="1">
      <c r="A5" s="20" t="s">
        <v>4</v>
      </c>
      <c r="B5" s="20" t="s">
        <v>87</v>
      </c>
      <c r="C5" s="80" t="str">
        <f>IFERROR(VLOOKUP(B5,#REF!,5,FALSE),"")</f>
        <v/>
      </c>
      <c r="D5" s="98">
        <v>987654321</v>
      </c>
      <c r="E5" s="20">
        <v>933838778</v>
      </c>
      <c r="F5" s="20" t="s">
        <v>190</v>
      </c>
      <c r="G5" s="20" t="s">
        <v>100</v>
      </c>
      <c r="H5" s="20">
        <v>2101265</v>
      </c>
      <c r="I5" s="83">
        <v>45755</v>
      </c>
      <c r="J5" s="84">
        <v>45813</v>
      </c>
      <c r="K5" s="21" t="s">
        <v>101</v>
      </c>
      <c r="L5" s="30">
        <v>12111569</v>
      </c>
      <c r="M5" s="30">
        <v>12111569</v>
      </c>
      <c r="N5" s="62" t="s">
        <v>107</v>
      </c>
      <c r="P5" s="22"/>
      <c r="Q5" s="22"/>
      <c r="R5" s="77"/>
      <c r="T5" s="40">
        <f>MONTH('Gastos de Operación'!$J5)</f>
        <v>6</v>
      </c>
      <c r="U5" s="39">
        <f>YEAR('Gastos de Operación'!$J5)</f>
        <v>2025</v>
      </c>
    </row>
    <row r="6" spans="1:24" ht="25.05" customHeight="1">
      <c r="A6" s="20" t="s">
        <v>4</v>
      </c>
      <c r="B6" s="20" t="s">
        <v>87</v>
      </c>
      <c r="C6" s="80" t="str">
        <f>IFERROR(VLOOKUP(B6,#REF!,5,FALSE),"")</f>
        <v/>
      </c>
      <c r="D6" s="98">
        <v>987654321</v>
      </c>
      <c r="E6" s="20">
        <v>837978773</v>
      </c>
      <c r="F6" s="20" t="s">
        <v>192</v>
      </c>
      <c r="G6" s="20" t="s">
        <v>100</v>
      </c>
      <c r="H6" s="20">
        <v>5990677</v>
      </c>
      <c r="I6" s="83">
        <v>45756</v>
      </c>
      <c r="J6" s="84">
        <v>45827</v>
      </c>
      <c r="K6" s="21" t="s">
        <v>101</v>
      </c>
      <c r="L6" s="30">
        <v>9515952</v>
      </c>
      <c r="M6" s="30">
        <v>9515952</v>
      </c>
      <c r="N6" s="62" t="s">
        <v>108</v>
      </c>
      <c r="P6" s="22"/>
      <c r="Q6" s="22"/>
      <c r="R6" s="77"/>
      <c r="T6" s="40">
        <f>MONTH('Gastos de Operación'!$J6)</f>
        <v>6</v>
      </c>
      <c r="U6" s="39">
        <f>YEAR('Gastos de Operación'!$J6)</f>
        <v>2025</v>
      </c>
    </row>
    <row r="7" spans="1:24" ht="25.05" customHeight="1">
      <c r="A7" s="20" t="s">
        <v>4</v>
      </c>
      <c r="B7" s="20" t="s">
        <v>87</v>
      </c>
      <c r="C7" s="80" t="str">
        <f>IFERROR(VLOOKUP(B7,#REF!,5,FALSE),"")</f>
        <v/>
      </c>
      <c r="D7" s="98">
        <v>987654321</v>
      </c>
      <c r="E7" s="20">
        <v>737738897</v>
      </c>
      <c r="F7" s="20" t="s">
        <v>189</v>
      </c>
      <c r="G7" s="20" t="s">
        <v>100</v>
      </c>
      <c r="H7" s="20">
        <v>994873</v>
      </c>
      <c r="I7" s="83">
        <v>45754</v>
      </c>
      <c r="J7" s="84">
        <v>45806</v>
      </c>
      <c r="K7" s="21" t="s">
        <v>101</v>
      </c>
      <c r="L7" s="30">
        <v>9011942</v>
      </c>
      <c r="M7" s="30">
        <v>9011942</v>
      </c>
      <c r="N7" s="62" t="s">
        <v>109</v>
      </c>
      <c r="P7" s="22"/>
      <c r="Q7" s="22"/>
      <c r="R7" s="77"/>
      <c r="T7" s="40">
        <f>MONTH('Gastos de Operación'!$J7)</f>
        <v>5</v>
      </c>
      <c r="U7" s="39">
        <f>YEAR('Gastos de Operación'!$J7)</f>
        <v>2025</v>
      </c>
    </row>
    <row r="8" spans="1:24" ht="25.05" customHeight="1">
      <c r="A8" s="20" t="s">
        <v>4</v>
      </c>
      <c r="B8" s="20" t="s">
        <v>87</v>
      </c>
      <c r="C8" s="80" t="str">
        <f>IFERROR(VLOOKUP(B8,#REF!,5,FALSE),"")</f>
        <v/>
      </c>
      <c r="D8" s="98">
        <v>987654321</v>
      </c>
      <c r="E8" s="20">
        <v>933937373</v>
      </c>
      <c r="F8" s="20" t="s">
        <v>193</v>
      </c>
      <c r="G8" s="20" t="s">
        <v>100</v>
      </c>
      <c r="H8" s="20">
        <v>244663</v>
      </c>
      <c r="I8" s="83">
        <v>45758</v>
      </c>
      <c r="J8" s="84">
        <v>45786</v>
      </c>
      <c r="K8" s="21" t="s">
        <v>101</v>
      </c>
      <c r="L8" s="30">
        <v>7256559</v>
      </c>
      <c r="M8" s="30">
        <v>7256559</v>
      </c>
      <c r="N8" s="62" t="s">
        <v>110</v>
      </c>
      <c r="P8" s="22"/>
      <c r="Q8" s="22"/>
      <c r="R8" s="77"/>
      <c r="T8" s="40">
        <f>MONTH('Gastos de Operación'!$J8)</f>
        <v>5</v>
      </c>
      <c r="U8" s="39">
        <f>YEAR('Gastos de Operación'!$J8)</f>
        <v>2025</v>
      </c>
    </row>
    <row r="9" spans="1:24" ht="25.05" customHeight="1">
      <c r="A9" s="20" t="s">
        <v>4</v>
      </c>
      <c r="B9" s="20" t="s">
        <v>87</v>
      </c>
      <c r="C9" s="80" t="str">
        <f>IFERROR(VLOOKUP(B9,#REF!,5,FALSE),"")</f>
        <v/>
      </c>
      <c r="D9" s="98">
        <v>987654321</v>
      </c>
      <c r="E9" s="20">
        <v>933838778</v>
      </c>
      <c r="F9" s="20" t="s">
        <v>190</v>
      </c>
      <c r="G9" s="20" t="s">
        <v>100</v>
      </c>
      <c r="H9" s="20">
        <v>2101262</v>
      </c>
      <c r="I9" s="83">
        <v>45755</v>
      </c>
      <c r="J9" s="84">
        <v>45813</v>
      </c>
      <c r="K9" s="21" t="s">
        <v>101</v>
      </c>
      <c r="L9" s="30">
        <v>6766415</v>
      </c>
      <c r="M9" s="30">
        <v>6766415</v>
      </c>
      <c r="N9" s="62" t="s">
        <v>111</v>
      </c>
      <c r="P9" s="22"/>
      <c r="Q9" s="22"/>
      <c r="R9" s="77"/>
      <c r="T9" s="40">
        <f>MONTH('Gastos de Operación'!$J9)</f>
        <v>6</v>
      </c>
      <c r="U9" s="39">
        <f>YEAR('Gastos de Operación'!$J9)</f>
        <v>2025</v>
      </c>
    </row>
    <row r="10" spans="1:24" ht="25.05" customHeight="1">
      <c r="A10" s="20" t="s">
        <v>4</v>
      </c>
      <c r="B10" s="20" t="s">
        <v>87</v>
      </c>
      <c r="C10" s="80" t="str">
        <f>IFERROR(VLOOKUP(B10,#REF!,5,FALSE),"")</f>
        <v/>
      </c>
      <c r="D10" s="98">
        <v>987654321</v>
      </c>
      <c r="E10" s="20">
        <v>933777378</v>
      </c>
      <c r="F10" s="20" t="s">
        <v>194</v>
      </c>
      <c r="G10" s="20" t="s">
        <v>100</v>
      </c>
      <c r="H10" s="20">
        <v>2062878</v>
      </c>
      <c r="I10" s="83">
        <v>45708</v>
      </c>
      <c r="J10" s="84">
        <v>45736</v>
      </c>
      <c r="K10" s="21" t="s">
        <v>101</v>
      </c>
      <c r="L10" s="30">
        <v>5953500</v>
      </c>
      <c r="M10" s="30">
        <v>5953500</v>
      </c>
      <c r="N10" s="62" t="s">
        <v>112</v>
      </c>
      <c r="P10" s="22"/>
      <c r="Q10" s="22"/>
      <c r="R10" s="77"/>
      <c r="T10" s="40">
        <f>MONTH('Gastos de Operación'!$J10)</f>
        <v>3</v>
      </c>
      <c r="U10" s="39">
        <f>YEAR('Gastos de Operación'!$J10)</f>
        <v>2025</v>
      </c>
    </row>
    <row r="11" spans="1:24" ht="25.05" customHeight="1">
      <c r="A11" s="20" t="s">
        <v>4</v>
      </c>
      <c r="B11" s="20" t="s">
        <v>87</v>
      </c>
      <c r="C11" s="80" t="str">
        <f>IFERROR(VLOOKUP(B11,#REF!,5,FALSE),"")</f>
        <v/>
      </c>
      <c r="D11" s="98">
        <v>987654321</v>
      </c>
      <c r="E11" s="20">
        <v>837978773</v>
      </c>
      <c r="F11" s="20" t="s">
        <v>192</v>
      </c>
      <c r="G11" s="20" t="s">
        <v>100</v>
      </c>
      <c r="H11" s="20">
        <v>5990661</v>
      </c>
      <c r="I11" s="83">
        <v>45756</v>
      </c>
      <c r="J11" s="84">
        <v>45813</v>
      </c>
      <c r="K11" s="21" t="s">
        <v>101</v>
      </c>
      <c r="L11" s="30">
        <v>5489254</v>
      </c>
      <c r="M11" s="30">
        <v>5489254</v>
      </c>
      <c r="N11" s="62" t="s">
        <v>113</v>
      </c>
      <c r="P11" s="22"/>
      <c r="Q11" s="22"/>
      <c r="R11" s="77"/>
      <c r="T11" s="40">
        <f>MONTH('Gastos de Operación'!$J11)</f>
        <v>6</v>
      </c>
      <c r="U11" s="39">
        <f>YEAR('Gastos de Operación'!$J11)</f>
        <v>2025</v>
      </c>
    </row>
    <row r="12" spans="1:24" ht="25.05" customHeight="1">
      <c r="A12" s="20" t="s">
        <v>4</v>
      </c>
      <c r="B12" s="20" t="s">
        <v>87</v>
      </c>
      <c r="C12" s="80" t="str">
        <f>IFERROR(VLOOKUP(B12,#REF!,5,FALSE),"")</f>
        <v/>
      </c>
      <c r="D12" s="98">
        <v>987654321</v>
      </c>
      <c r="E12" s="20">
        <v>738993887</v>
      </c>
      <c r="F12" s="20" t="s">
        <v>196</v>
      </c>
      <c r="G12" s="20" t="s">
        <v>100</v>
      </c>
      <c r="H12" s="20">
        <v>360</v>
      </c>
      <c r="I12" s="83">
        <v>45789</v>
      </c>
      <c r="J12" s="84">
        <v>45820</v>
      </c>
      <c r="K12" s="21" t="s">
        <v>101</v>
      </c>
      <c r="L12" s="30">
        <v>6530480</v>
      </c>
      <c r="M12" s="30">
        <v>6530480</v>
      </c>
      <c r="N12" s="62" t="s">
        <v>114</v>
      </c>
      <c r="P12" s="22"/>
      <c r="Q12" s="22"/>
      <c r="R12" s="77"/>
      <c r="T12" s="40">
        <f>MONTH('Gastos de Operación'!$J12)</f>
        <v>6</v>
      </c>
      <c r="U12" s="39">
        <f>YEAR('Gastos de Operación'!$J12)</f>
        <v>2025</v>
      </c>
    </row>
    <row r="13" spans="1:24" ht="25.05" customHeight="1">
      <c r="A13" s="20" t="s">
        <v>4</v>
      </c>
      <c r="B13" s="20" t="s">
        <v>87</v>
      </c>
      <c r="C13" s="80" t="str">
        <f>IFERROR(VLOOKUP(B13,#REF!,5,FALSE),"")</f>
        <v/>
      </c>
      <c r="D13" s="98">
        <v>987654321</v>
      </c>
      <c r="E13" s="20">
        <v>737779778</v>
      </c>
      <c r="F13" s="20" t="s">
        <v>197</v>
      </c>
      <c r="G13" s="20" t="s">
        <v>100</v>
      </c>
      <c r="H13" s="20">
        <v>5852</v>
      </c>
      <c r="I13" s="83">
        <v>45730</v>
      </c>
      <c r="J13" s="84">
        <v>45757</v>
      </c>
      <c r="K13" s="21" t="s">
        <v>101</v>
      </c>
      <c r="L13" s="30">
        <v>6380000</v>
      </c>
      <c r="M13" s="30">
        <v>6380000</v>
      </c>
      <c r="N13" s="62" t="s">
        <v>115</v>
      </c>
      <c r="P13" s="22"/>
      <c r="Q13" s="22"/>
      <c r="R13" s="77"/>
      <c r="T13" s="40">
        <f>MONTH('Gastos de Operación'!$J13)</f>
        <v>4</v>
      </c>
      <c r="U13" s="39">
        <f>YEAR('Gastos de Operación'!$J13)</f>
        <v>2025</v>
      </c>
    </row>
    <row r="14" spans="1:24" ht="25.05" customHeight="1">
      <c r="A14" s="20" t="s">
        <v>4</v>
      </c>
      <c r="B14" s="20" t="s">
        <v>91</v>
      </c>
      <c r="C14" s="80" t="str">
        <f>IFERROR(VLOOKUP(B14,#REF!,5,FALSE),"")</f>
        <v/>
      </c>
      <c r="D14" s="98">
        <v>987654321</v>
      </c>
      <c r="E14" s="20">
        <v>933939779</v>
      </c>
      <c r="F14" s="20" t="s">
        <v>200</v>
      </c>
      <c r="G14" s="20" t="s">
        <v>100</v>
      </c>
      <c r="H14" s="20">
        <v>6278</v>
      </c>
      <c r="I14" s="83">
        <v>45756</v>
      </c>
      <c r="J14" s="84">
        <v>45786</v>
      </c>
      <c r="K14" s="21" t="s">
        <v>101</v>
      </c>
      <c r="L14" s="30">
        <v>6200000</v>
      </c>
      <c r="M14" s="30">
        <v>6200000</v>
      </c>
      <c r="N14" s="62" t="s">
        <v>116</v>
      </c>
      <c r="P14" s="22"/>
      <c r="Q14" s="22"/>
      <c r="R14" s="77"/>
      <c r="T14" s="40">
        <f>MONTH('Gastos de Operación'!$J14)</f>
        <v>5</v>
      </c>
      <c r="U14" s="39">
        <f>YEAR('Gastos de Operación'!$J14)</f>
        <v>2025</v>
      </c>
    </row>
    <row r="15" spans="1:24" ht="25.05" customHeight="1">
      <c r="A15" s="20" t="s">
        <v>4</v>
      </c>
      <c r="B15" s="20" t="s">
        <v>88</v>
      </c>
      <c r="C15" s="80" t="str">
        <f>IFERROR(VLOOKUP(B15,#REF!,5,FALSE),"")</f>
        <v/>
      </c>
      <c r="D15" s="98">
        <v>987654321</v>
      </c>
      <c r="E15" s="20">
        <v>879377777</v>
      </c>
      <c r="F15" s="20" t="s">
        <v>201</v>
      </c>
      <c r="G15" s="20" t="s">
        <v>100</v>
      </c>
      <c r="H15" s="20">
        <v>79647</v>
      </c>
      <c r="I15" s="83">
        <v>45679</v>
      </c>
      <c r="J15" s="84">
        <v>45736</v>
      </c>
      <c r="K15" s="21" t="s">
        <v>101</v>
      </c>
      <c r="L15" s="30">
        <v>36960000</v>
      </c>
      <c r="M15" s="30">
        <v>36960000</v>
      </c>
      <c r="N15" s="62" t="s">
        <v>117</v>
      </c>
      <c r="P15" s="22"/>
      <c r="Q15" s="22"/>
      <c r="R15" s="77"/>
      <c r="T15" s="40">
        <f>MONTH('Gastos de Operación'!$J15)</f>
        <v>3</v>
      </c>
      <c r="U15" s="39">
        <f>YEAR('Gastos de Operación'!$J15)</f>
        <v>2025</v>
      </c>
    </row>
    <row r="16" spans="1:24" ht="25.05" customHeight="1">
      <c r="A16" s="20" t="s">
        <v>4</v>
      </c>
      <c r="B16" s="20" t="s">
        <v>89</v>
      </c>
      <c r="C16" s="80" t="str">
        <f>IFERROR(VLOOKUP(B16,#REF!,5,FALSE),"")</f>
        <v/>
      </c>
      <c r="D16" s="98">
        <v>987654321</v>
      </c>
      <c r="E16" s="20">
        <v>779738373</v>
      </c>
      <c r="F16" s="20" t="s">
        <v>202</v>
      </c>
      <c r="G16" s="20" t="s">
        <v>100</v>
      </c>
      <c r="H16" s="20">
        <v>40691</v>
      </c>
      <c r="I16" s="83">
        <v>46017</v>
      </c>
      <c r="J16" s="84">
        <v>45687</v>
      </c>
      <c r="K16" s="21" t="s">
        <v>101</v>
      </c>
      <c r="L16" s="30">
        <v>31909614</v>
      </c>
      <c r="M16" s="30">
        <v>4896000</v>
      </c>
      <c r="N16" s="62" t="s">
        <v>118</v>
      </c>
      <c r="P16" s="22"/>
      <c r="Q16" s="22"/>
      <c r="R16" s="77"/>
      <c r="T16" s="40">
        <f>MONTH('Gastos de Operación'!$J16)</f>
        <v>1</v>
      </c>
      <c r="U16" s="39">
        <f>YEAR('Gastos de Operación'!$J16)</f>
        <v>2025</v>
      </c>
    </row>
    <row r="17" spans="1:21" ht="25.05" customHeight="1">
      <c r="A17" s="20" t="s">
        <v>4</v>
      </c>
      <c r="B17" s="20" t="s">
        <v>89</v>
      </c>
      <c r="C17" s="80" t="str">
        <f>IFERROR(VLOOKUP(B17,#REF!,5,FALSE),"")</f>
        <v/>
      </c>
      <c r="D17" s="98">
        <v>987654321</v>
      </c>
      <c r="E17" s="20">
        <v>779738373</v>
      </c>
      <c r="F17" s="20" t="s">
        <v>202</v>
      </c>
      <c r="G17" s="20" t="s">
        <v>100</v>
      </c>
      <c r="H17" s="20">
        <v>40690</v>
      </c>
      <c r="I17" s="83">
        <v>46017</v>
      </c>
      <c r="J17" s="84">
        <v>45687</v>
      </c>
      <c r="K17" s="21" t="s">
        <v>101</v>
      </c>
      <c r="L17" s="30">
        <v>30483486</v>
      </c>
      <c r="M17" s="30">
        <v>4896000</v>
      </c>
      <c r="N17" s="62" t="s">
        <v>119</v>
      </c>
      <c r="P17" s="22"/>
      <c r="Q17" s="22"/>
      <c r="R17" s="77"/>
      <c r="T17" s="40">
        <f>MONTH('Gastos de Operación'!$J17)</f>
        <v>1</v>
      </c>
      <c r="U17" s="39">
        <f>YEAR('Gastos de Operación'!$J17)</f>
        <v>2025</v>
      </c>
    </row>
    <row r="18" spans="1:21" ht="25.05" customHeight="1">
      <c r="A18" s="20" t="s">
        <v>4</v>
      </c>
      <c r="B18" s="20" t="s">
        <v>88</v>
      </c>
      <c r="C18" s="80" t="str">
        <f>IFERROR(VLOOKUP(B18,#REF!,5,FALSE),"")</f>
        <v/>
      </c>
      <c r="D18" s="98">
        <v>987654321</v>
      </c>
      <c r="E18" s="20">
        <v>737879773</v>
      </c>
      <c r="F18" s="20" t="s">
        <v>203</v>
      </c>
      <c r="G18" s="20" t="s">
        <v>100</v>
      </c>
      <c r="H18" s="20">
        <v>165416</v>
      </c>
      <c r="I18" s="83">
        <v>45707</v>
      </c>
      <c r="J18" s="84">
        <v>45736</v>
      </c>
      <c r="K18" s="21" t="s">
        <v>101</v>
      </c>
      <c r="L18" s="30">
        <v>8967980</v>
      </c>
      <c r="M18" s="30">
        <v>8967980</v>
      </c>
      <c r="N18" s="62" t="s">
        <v>120</v>
      </c>
      <c r="P18" s="22"/>
      <c r="Q18" s="22"/>
      <c r="R18" s="77"/>
      <c r="T18" s="40">
        <f>MONTH('Gastos de Operación'!$J18)</f>
        <v>3</v>
      </c>
      <c r="U18" s="39">
        <f>YEAR('Gastos de Operación'!$J18)</f>
        <v>2025</v>
      </c>
    </row>
    <row r="19" spans="1:21" ht="25.05" customHeight="1">
      <c r="A19" s="20" t="s">
        <v>4</v>
      </c>
      <c r="B19" s="20" t="s">
        <v>88</v>
      </c>
      <c r="C19" s="80" t="str">
        <f>IFERROR(VLOOKUP(B19,#REF!,5,FALSE),"")</f>
        <v/>
      </c>
      <c r="D19" s="98">
        <v>987654321</v>
      </c>
      <c r="E19" s="25">
        <v>733737987</v>
      </c>
      <c r="F19" s="20" t="s">
        <v>195</v>
      </c>
      <c r="G19" s="20" t="s">
        <v>100</v>
      </c>
      <c r="H19" s="20">
        <v>177431</v>
      </c>
      <c r="I19" s="83">
        <v>45776</v>
      </c>
      <c r="J19" s="84">
        <v>45806</v>
      </c>
      <c r="K19" s="21" t="s">
        <v>101</v>
      </c>
      <c r="L19" s="30">
        <v>9698550</v>
      </c>
      <c r="M19" s="30">
        <v>9698550</v>
      </c>
      <c r="N19" s="62" t="s">
        <v>121</v>
      </c>
      <c r="P19" s="22"/>
      <c r="Q19" s="22"/>
      <c r="R19" s="77"/>
      <c r="T19" s="40">
        <f>MONTH('Gastos de Operación'!$J19)</f>
        <v>5</v>
      </c>
      <c r="U19" s="39">
        <f>YEAR('Gastos de Operación'!$J19)</f>
        <v>2025</v>
      </c>
    </row>
    <row r="20" spans="1:21" ht="25.05" customHeight="1">
      <c r="A20" s="20" t="s">
        <v>4</v>
      </c>
      <c r="B20" s="20" t="s">
        <v>88</v>
      </c>
      <c r="C20" s="80" t="str">
        <f>IFERROR(VLOOKUP(B20,#REF!,5,FALSE),"")</f>
        <v/>
      </c>
      <c r="D20" s="98">
        <v>987654321</v>
      </c>
      <c r="E20" s="25">
        <v>737879773</v>
      </c>
      <c r="F20" s="20" t="s">
        <v>203</v>
      </c>
      <c r="G20" s="20" t="s">
        <v>100</v>
      </c>
      <c r="H20" s="20">
        <v>165241</v>
      </c>
      <c r="I20" s="83">
        <v>45699</v>
      </c>
      <c r="J20" s="84">
        <v>45729</v>
      </c>
      <c r="K20" s="21" t="s">
        <v>101</v>
      </c>
      <c r="L20" s="30">
        <v>6190000</v>
      </c>
      <c r="M20" s="30">
        <v>6190000</v>
      </c>
      <c r="N20" s="62" t="s">
        <v>120</v>
      </c>
      <c r="P20" s="22"/>
      <c r="Q20" s="22"/>
      <c r="R20" s="77"/>
      <c r="T20" s="40">
        <f>MONTH('Gastos de Operación'!$J20)</f>
        <v>3</v>
      </c>
      <c r="U20" s="39">
        <f>YEAR('Gastos de Operación'!$J20)</f>
        <v>2025</v>
      </c>
    </row>
    <row r="21" spans="1:21" ht="25.05" customHeight="1">
      <c r="A21" s="20" t="s">
        <v>4</v>
      </c>
      <c r="B21" s="20" t="s">
        <v>90</v>
      </c>
      <c r="C21" s="80" t="str">
        <f>IFERROR(VLOOKUP(B21,#REF!,5,FALSE),"")</f>
        <v/>
      </c>
      <c r="D21" s="98">
        <v>987654321</v>
      </c>
      <c r="E21" s="25" t="s">
        <v>230</v>
      </c>
      <c r="F21" s="20" t="s">
        <v>198</v>
      </c>
      <c r="G21" s="20" t="s">
        <v>100</v>
      </c>
      <c r="H21" s="20">
        <v>26981</v>
      </c>
      <c r="I21" s="83">
        <v>45728</v>
      </c>
      <c r="J21" s="84">
        <v>45743</v>
      </c>
      <c r="K21" s="21" t="s">
        <v>101</v>
      </c>
      <c r="L21" s="30">
        <v>2538800</v>
      </c>
      <c r="M21" s="30">
        <v>2538800</v>
      </c>
      <c r="N21" s="62" t="s">
        <v>122</v>
      </c>
      <c r="P21" s="22"/>
      <c r="Q21" s="22"/>
      <c r="R21" s="77"/>
      <c r="T21" s="40">
        <f>MONTH('Gastos de Operación'!$J21)</f>
        <v>3</v>
      </c>
      <c r="U21" s="39">
        <f>YEAR('Gastos de Operación'!$J21)</f>
        <v>2025</v>
      </c>
    </row>
    <row r="22" spans="1:21" ht="25.05" customHeight="1">
      <c r="A22" s="20" t="s">
        <v>4</v>
      </c>
      <c r="B22" s="20" t="s">
        <v>90</v>
      </c>
      <c r="C22" s="80" t="str">
        <f>IFERROR(VLOOKUP(B22,#REF!,5,FALSE),"")</f>
        <v/>
      </c>
      <c r="D22" s="98">
        <v>987654321</v>
      </c>
      <c r="E22" s="25" t="s">
        <v>231</v>
      </c>
      <c r="F22" s="20" t="s">
        <v>204</v>
      </c>
      <c r="G22" s="20" t="s">
        <v>100</v>
      </c>
      <c r="H22" s="20">
        <v>410890</v>
      </c>
      <c r="I22" s="83">
        <v>45748</v>
      </c>
      <c r="J22" s="84">
        <v>45779</v>
      </c>
      <c r="K22" s="21" t="s">
        <v>101</v>
      </c>
      <c r="L22" s="30">
        <v>1645590</v>
      </c>
      <c r="M22" s="30">
        <v>1645590</v>
      </c>
      <c r="N22" s="62" t="s">
        <v>122</v>
      </c>
      <c r="P22" s="22"/>
      <c r="Q22" s="22"/>
      <c r="R22" s="77"/>
      <c r="T22" s="40">
        <f>MONTH('Gastos de Operación'!$J22)</f>
        <v>5</v>
      </c>
      <c r="U22" s="39">
        <f>YEAR('Gastos de Operación'!$J22)</f>
        <v>2025</v>
      </c>
    </row>
    <row r="23" spans="1:21" ht="25.05" customHeight="1">
      <c r="A23" s="20" t="s">
        <v>4</v>
      </c>
      <c r="B23" s="20" t="s">
        <v>90</v>
      </c>
      <c r="C23" s="80" t="str">
        <f>IFERROR(VLOOKUP(B23,#REF!,5,FALSE),"")</f>
        <v/>
      </c>
      <c r="D23" s="98">
        <v>987654321</v>
      </c>
      <c r="E23" s="25" t="s">
        <v>231</v>
      </c>
      <c r="F23" s="20" t="s">
        <v>204</v>
      </c>
      <c r="G23" s="20" t="s">
        <v>100</v>
      </c>
      <c r="H23" s="20">
        <v>416393</v>
      </c>
      <c r="I23" s="83">
        <v>45813</v>
      </c>
      <c r="J23" s="84">
        <v>45868</v>
      </c>
      <c r="K23" s="21" t="s">
        <v>101</v>
      </c>
      <c r="L23" s="30">
        <v>1152000</v>
      </c>
      <c r="M23" s="30">
        <v>1152000</v>
      </c>
      <c r="N23" s="62" t="s">
        <v>122</v>
      </c>
      <c r="P23" s="22"/>
      <c r="Q23" s="22"/>
      <c r="R23" s="77"/>
      <c r="T23" s="40">
        <f>MONTH('Gastos de Operación'!$J23)</f>
        <v>7</v>
      </c>
      <c r="U23" s="39">
        <f>YEAR('Gastos de Operación'!$J23)</f>
        <v>2025</v>
      </c>
    </row>
    <row r="24" spans="1:21" ht="25.05" customHeight="1">
      <c r="A24" s="20" t="s">
        <v>4</v>
      </c>
      <c r="B24" s="20" t="s">
        <v>91</v>
      </c>
      <c r="C24" s="80" t="str">
        <f>IFERROR(VLOOKUP(B24,#REF!,5,FALSE),"")</f>
        <v/>
      </c>
      <c r="D24" s="98">
        <v>987654321</v>
      </c>
      <c r="E24" s="25">
        <v>777389377</v>
      </c>
      <c r="F24" s="20" t="s">
        <v>205</v>
      </c>
      <c r="G24" s="20" t="s">
        <v>100</v>
      </c>
      <c r="H24" s="20">
        <v>101427</v>
      </c>
      <c r="I24" s="83">
        <v>45644</v>
      </c>
      <c r="J24" s="84">
        <v>45673</v>
      </c>
      <c r="K24" s="21" t="s">
        <v>101</v>
      </c>
      <c r="L24" s="30">
        <v>1374671</v>
      </c>
      <c r="M24" s="30">
        <v>1374671</v>
      </c>
      <c r="N24" s="62" t="s">
        <v>123</v>
      </c>
      <c r="P24" s="22"/>
      <c r="Q24" s="22"/>
      <c r="R24" s="77"/>
      <c r="T24" s="40">
        <f>MONTH('Gastos de Operación'!$J24)</f>
        <v>1</v>
      </c>
      <c r="U24" s="39">
        <f>YEAR('Gastos de Operación'!$J24)</f>
        <v>2025</v>
      </c>
    </row>
    <row r="25" spans="1:21" ht="25.05" customHeight="1">
      <c r="A25" s="20" t="s">
        <v>4</v>
      </c>
      <c r="B25" s="20" t="s">
        <v>91</v>
      </c>
      <c r="C25" s="80" t="str">
        <f>IFERROR(VLOOKUP(B25,#REF!,5,FALSE),"")</f>
        <v/>
      </c>
      <c r="D25" s="98">
        <v>987654321</v>
      </c>
      <c r="E25" s="20">
        <v>778777377</v>
      </c>
      <c r="F25" s="20" t="s">
        <v>206</v>
      </c>
      <c r="G25" s="20" t="s">
        <v>100</v>
      </c>
      <c r="H25" s="20">
        <v>170004</v>
      </c>
      <c r="I25" s="83">
        <v>45713</v>
      </c>
      <c r="J25" s="84">
        <v>45743</v>
      </c>
      <c r="K25" s="21" t="s">
        <v>101</v>
      </c>
      <c r="L25" s="30">
        <v>598800</v>
      </c>
      <c r="M25" s="30">
        <v>598800</v>
      </c>
      <c r="N25" s="62" t="s">
        <v>123</v>
      </c>
      <c r="P25" s="22"/>
      <c r="Q25" s="22"/>
      <c r="R25" s="77"/>
      <c r="T25" s="40">
        <f>MONTH('Gastos de Operación'!$J25)</f>
        <v>3</v>
      </c>
      <c r="U25" s="39">
        <f>YEAR('Gastos de Operación'!$J25)</f>
        <v>2025</v>
      </c>
    </row>
    <row r="26" spans="1:21" ht="25.05" customHeight="1">
      <c r="A26" s="20" t="s">
        <v>4</v>
      </c>
      <c r="B26" s="20" t="s">
        <v>94</v>
      </c>
      <c r="C26" s="80" t="str">
        <f>IFERROR(VLOOKUP(B26,#REF!,5,FALSE),"")</f>
        <v/>
      </c>
      <c r="D26" s="98">
        <v>987654321</v>
      </c>
      <c r="E26" s="20">
        <v>838877777</v>
      </c>
      <c r="F26" s="20" t="s">
        <v>207</v>
      </c>
      <c r="G26" s="20" t="s">
        <v>100</v>
      </c>
      <c r="H26" s="20">
        <v>3242541</v>
      </c>
      <c r="I26" s="83">
        <v>45680</v>
      </c>
      <c r="J26" s="84">
        <v>45708</v>
      </c>
      <c r="K26" s="21" t="s">
        <v>101</v>
      </c>
      <c r="L26" s="30">
        <v>947060</v>
      </c>
      <c r="M26" s="30">
        <v>947060</v>
      </c>
      <c r="N26" s="62" t="s">
        <v>124</v>
      </c>
      <c r="P26" s="22"/>
      <c r="Q26" s="22"/>
      <c r="R26" s="77"/>
      <c r="T26" s="40">
        <f>MONTH('Gastos de Operación'!$J26)</f>
        <v>2</v>
      </c>
      <c r="U26" s="39">
        <f>YEAR('Gastos de Operación'!$J26)</f>
        <v>2025</v>
      </c>
    </row>
    <row r="27" spans="1:21" ht="25.05" customHeight="1">
      <c r="A27" s="20" t="s">
        <v>4</v>
      </c>
      <c r="B27" s="20" t="s">
        <v>94</v>
      </c>
      <c r="C27" s="80" t="str">
        <f>IFERROR(VLOOKUP(B27,#REF!,5,FALSE),"")</f>
        <v/>
      </c>
      <c r="D27" s="98">
        <v>987654321</v>
      </c>
      <c r="E27" s="20">
        <v>838877777</v>
      </c>
      <c r="F27" s="20" t="s">
        <v>207</v>
      </c>
      <c r="G27" s="20" t="s">
        <v>100</v>
      </c>
      <c r="H27" s="20">
        <v>3207791</v>
      </c>
      <c r="I27" s="83">
        <v>45635</v>
      </c>
      <c r="J27" s="84">
        <v>45666</v>
      </c>
      <c r="K27" s="21" t="s">
        <v>101</v>
      </c>
      <c r="L27" s="30">
        <v>428761</v>
      </c>
      <c r="M27" s="30">
        <v>428761</v>
      </c>
      <c r="N27" s="62" t="s">
        <v>125</v>
      </c>
      <c r="P27" s="22"/>
      <c r="Q27" s="22"/>
      <c r="R27" s="77"/>
      <c r="T27" s="40">
        <f>MONTH('Gastos de Operación'!$J27)</f>
        <v>1</v>
      </c>
      <c r="U27" s="39">
        <f>YEAR('Gastos de Operación'!$J27)</f>
        <v>2025</v>
      </c>
    </row>
    <row r="28" spans="1:21" ht="25.05" customHeight="1">
      <c r="A28" s="20" t="s">
        <v>4</v>
      </c>
      <c r="B28" s="20" t="s">
        <v>94</v>
      </c>
      <c r="C28" s="80" t="str">
        <f>IFERROR(VLOOKUP(B28,#REF!,5,FALSE),"")</f>
        <v/>
      </c>
      <c r="D28" s="98">
        <v>987654321</v>
      </c>
      <c r="E28" s="20">
        <v>838877777</v>
      </c>
      <c r="F28" s="20" t="s">
        <v>207</v>
      </c>
      <c r="G28" s="20" t="s">
        <v>100</v>
      </c>
      <c r="H28" s="20">
        <v>3253100</v>
      </c>
      <c r="I28" s="83">
        <v>45691</v>
      </c>
      <c r="J28" s="84">
        <v>45722</v>
      </c>
      <c r="K28" s="21" t="s">
        <v>101</v>
      </c>
      <c r="L28" s="30">
        <v>423810</v>
      </c>
      <c r="M28" s="30">
        <v>423810</v>
      </c>
      <c r="N28" s="62" t="s">
        <v>124</v>
      </c>
      <c r="P28" s="22"/>
      <c r="Q28" s="22"/>
      <c r="R28" s="77"/>
      <c r="T28" s="40">
        <f>MONTH('Gastos de Operación'!$J28)</f>
        <v>3</v>
      </c>
      <c r="U28" s="39">
        <f>YEAR('Gastos de Operación'!$J28)</f>
        <v>2025</v>
      </c>
    </row>
    <row r="29" spans="1:21" ht="25.05" customHeight="1">
      <c r="A29" s="20" t="s">
        <v>4</v>
      </c>
      <c r="B29" s="20" t="s">
        <v>95</v>
      </c>
      <c r="C29" s="80" t="str">
        <f>IFERROR(VLOOKUP(B29,#REF!,5,FALSE),"")</f>
        <v/>
      </c>
      <c r="D29" s="98">
        <v>987654321</v>
      </c>
      <c r="E29" s="20">
        <v>333738338</v>
      </c>
      <c r="F29" s="20" t="s">
        <v>208</v>
      </c>
      <c r="G29" s="20" t="s">
        <v>100</v>
      </c>
      <c r="H29" s="20">
        <v>121</v>
      </c>
      <c r="I29" s="83">
        <v>45656</v>
      </c>
      <c r="J29" s="84">
        <v>45673</v>
      </c>
      <c r="K29" s="21" t="s">
        <v>101</v>
      </c>
      <c r="L29" s="30">
        <v>2390000</v>
      </c>
      <c r="M29" s="30">
        <v>2390000</v>
      </c>
      <c r="N29" s="62" t="s">
        <v>126</v>
      </c>
      <c r="P29" s="22"/>
      <c r="Q29" s="22"/>
      <c r="R29" s="77"/>
      <c r="T29" s="40">
        <f>MONTH('Gastos de Operación'!$J29)</f>
        <v>1</v>
      </c>
      <c r="U29" s="39">
        <f>YEAR('Gastos de Operación'!$J29)</f>
        <v>2025</v>
      </c>
    </row>
    <row r="30" spans="1:21" ht="25.05" customHeight="1">
      <c r="A30" s="20" t="s">
        <v>4</v>
      </c>
      <c r="B30" s="20" t="s">
        <v>95</v>
      </c>
      <c r="C30" s="80" t="str">
        <f>IFERROR(VLOOKUP(B30,#REF!,5,FALSE),"")</f>
        <v/>
      </c>
      <c r="D30" s="98">
        <v>987654321</v>
      </c>
      <c r="E30" s="20">
        <v>333738338</v>
      </c>
      <c r="F30" s="20" t="s">
        <v>208</v>
      </c>
      <c r="G30" s="20" t="s">
        <v>100</v>
      </c>
      <c r="H30" s="20">
        <v>119</v>
      </c>
      <c r="I30" s="83">
        <v>46021</v>
      </c>
      <c r="J30" s="84">
        <v>45673</v>
      </c>
      <c r="K30" s="21" t="s">
        <v>101</v>
      </c>
      <c r="L30" s="30">
        <v>2160000</v>
      </c>
      <c r="M30" s="30">
        <v>2160000</v>
      </c>
      <c r="N30" s="62" t="s">
        <v>126</v>
      </c>
      <c r="P30" s="22"/>
      <c r="Q30" s="22"/>
      <c r="R30" s="77"/>
      <c r="T30" s="40">
        <f>MONTH('Gastos de Operación'!$J30)</f>
        <v>1</v>
      </c>
      <c r="U30" s="39">
        <f>YEAR('Gastos de Operación'!$J30)</f>
        <v>2025</v>
      </c>
    </row>
    <row r="31" spans="1:21" ht="25.05" customHeight="1">
      <c r="A31" s="20" t="s">
        <v>4</v>
      </c>
      <c r="B31" s="20" t="s">
        <v>95</v>
      </c>
      <c r="C31" s="80" t="str">
        <f>IFERROR(VLOOKUP(B31,#REF!,5,FALSE),"")</f>
        <v/>
      </c>
      <c r="D31" s="98">
        <v>987654321</v>
      </c>
      <c r="E31" s="20">
        <v>333738338</v>
      </c>
      <c r="F31" s="20" t="s">
        <v>208</v>
      </c>
      <c r="G31" s="20" t="s">
        <v>100</v>
      </c>
      <c r="H31" s="20">
        <v>120</v>
      </c>
      <c r="I31" s="83">
        <v>46021</v>
      </c>
      <c r="J31" s="84">
        <v>45673</v>
      </c>
      <c r="K31" s="21" t="s">
        <v>101</v>
      </c>
      <c r="L31" s="30">
        <v>1970000</v>
      </c>
      <c r="M31" s="30">
        <v>1970000</v>
      </c>
      <c r="N31" s="62" t="s">
        <v>126</v>
      </c>
      <c r="P31" s="22"/>
      <c r="Q31" s="22"/>
      <c r="R31" s="77"/>
      <c r="T31" s="40">
        <f>MONTH('Gastos de Operación'!$J31)</f>
        <v>1</v>
      </c>
      <c r="U31" s="39">
        <f>YEAR('Gastos de Operación'!$J31)</f>
        <v>2025</v>
      </c>
    </row>
    <row r="32" spans="1:21" ht="25.05" customHeight="1">
      <c r="A32" s="20" t="s">
        <v>4</v>
      </c>
      <c r="B32" s="20" t="s">
        <v>94</v>
      </c>
      <c r="C32" s="80" t="str">
        <f>IFERROR(VLOOKUP(B32,#REF!,5,FALSE),"")</f>
        <v/>
      </c>
      <c r="D32" s="98">
        <v>987654321</v>
      </c>
      <c r="E32" s="20">
        <v>787837873</v>
      </c>
      <c r="F32" s="20" t="s">
        <v>209</v>
      </c>
      <c r="G32" s="20" t="s">
        <v>100</v>
      </c>
      <c r="H32" s="20">
        <v>82747</v>
      </c>
      <c r="I32" s="83">
        <v>45805</v>
      </c>
      <c r="J32" s="84">
        <v>45834</v>
      </c>
      <c r="K32" s="21" t="s">
        <v>101</v>
      </c>
      <c r="L32" s="30">
        <v>1925960</v>
      </c>
      <c r="M32" s="30">
        <v>1925960</v>
      </c>
      <c r="N32" s="62" t="s">
        <v>123</v>
      </c>
      <c r="P32" s="22"/>
      <c r="Q32" s="22"/>
      <c r="R32" s="77"/>
      <c r="T32" s="40">
        <f>MONTH('Gastos de Operación'!$J32)</f>
        <v>6</v>
      </c>
      <c r="U32" s="39">
        <f>YEAR('Gastos de Operación'!$J32)</f>
        <v>2025</v>
      </c>
    </row>
    <row r="33" spans="1:21" ht="25.05" customHeight="1">
      <c r="A33" s="20" t="s">
        <v>4</v>
      </c>
      <c r="B33" s="20" t="s">
        <v>95</v>
      </c>
      <c r="C33" s="80" t="str">
        <f>IFERROR(VLOOKUP(B33,#REF!,5,FALSE),"")</f>
        <v/>
      </c>
      <c r="D33" s="98">
        <v>987654321</v>
      </c>
      <c r="E33" s="20">
        <v>373939938</v>
      </c>
      <c r="F33" s="20" t="s">
        <v>210</v>
      </c>
      <c r="G33" s="20" t="s">
        <v>100</v>
      </c>
      <c r="H33" s="20">
        <v>227</v>
      </c>
      <c r="I33" s="83">
        <v>45722</v>
      </c>
      <c r="J33" s="84">
        <v>45736</v>
      </c>
      <c r="K33" s="21" t="s">
        <v>101</v>
      </c>
      <c r="L33" s="30">
        <v>1900000</v>
      </c>
      <c r="M33" s="30">
        <v>1900000</v>
      </c>
      <c r="N33" s="62" t="s">
        <v>126</v>
      </c>
      <c r="P33" s="22"/>
      <c r="Q33" s="22"/>
      <c r="R33" s="77"/>
      <c r="T33" s="40">
        <f>MONTH('Gastos de Operación'!$J33)</f>
        <v>3</v>
      </c>
      <c r="U33" s="39">
        <f>YEAR('Gastos de Operación'!$J33)</f>
        <v>2025</v>
      </c>
    </row>
    <row r="34" spans="1:21" ht="25.05" customHeight="1">
      <c r="A34" s="20" t="s">
        <v>4</v>
      </c>
      <c r="B34" s="20" t="s">
        <v>95</v>
      </c>
      <c r="C34" s="80" t="str">
        <f>IFERROR(VLOOKUP(B34,#REF!,5,FALSE),"")</f>
        <v/>
      </c>
      <c r="D34" s="98">
        <v>987654321</v>
      </c>
      <c r="E34" s="20">
        <v>379338773</v>
      </c>
      <c r="F34" s="20" t="s">
        <v>211</v>
      </c>
      <c r="G34" s="20" t="s">
        <v>100</v>
      </c>
      <c r="H34" s="20">
        <v>362</v>
      </c>
      <c r="I34" s="83">
        <v>45740</v>
      </c>
      <c r="J34" s="84">
        <v>45820</v>
      </c>
      <c r="K34" s="21" t="s">
        <v>101</v>
      </c>
      <c r="L34" s="30">
        <v>1476400</v>
      </c>
      <c r="M34" s="30">
        <v>1476400</v>
      </c>
      <c r="N34" s="62" t="s">
        <v>126</v>
      </c>
      <c r="P34" s="22"/>
      <c r="Q34" s="22"/>
      <c r="R34" s="77"/>
      <c r="T34" s="40">
        <f>MONTH('Gastos de Operación'!$J34)</f>
        <v>6</v>
      </c>
      <c r="U34" s="39">
        <f>YEAR('Gastos de Operación'!$J34)</f>
        <v>2025</v>
      </c>
    </row>
    <row r="35" spans="1:21" ht="25.05" customHeight="1">
      <c r="A35" s="20" t="s">
        <v>4</v>
      </c>
      <c r="B35" s="20" t="s">
        <v>88</v>
      </c>
      <c r="C35" s="80" t="str">
        <f>IFERROR(VLOOKUP(B35,#REF!,5,FALSE),"")</f>
        <v/>
      </c>
      <c r="D35" s="98">
        <v>987654321</v>
      </c>
      <c r="E35" s="20">
        <v>379788739</v>
      </c>
      <c r="F35" s="20" t="s">
        <v>229</v>
      </c>
      <c r="G35" s="96" t="s">
        <v>100</v>
      </c>
      <c r="H35" s="20">
        <v>8125</v>
      </c>
      <c r="I35" s="83">
        <v>45701</v>
      </c>
      <c r="J35" s="84">
        <v>45729</v>
      </c>
      <c r="K35" s="21" t="s">
        <v>101</v>
      </c>
      <c r="L35" s="30">
        <v>564900</v>
      </c>
      <c r="M35" s="30">
        <v>564900</v>
      </c>
      <c r="N35" s="62" t="s">
        <v>127</v>
      </c>
      <c r="P35" s="22"/>
      <c r="Q35" s="22"/>
      <c r="R35" s="77"/>
      <c r="T35" s="40">
        <f>MONTH('Gastos de Operación'!$J35)</f>
        <v>3</v>
      </c>
      <c r="U35" s="39">
        <f>YEAR('Gastos de Operación'!$J35)</f>
        <v>2025</v>
      </c>
    </row>
    <row r="36" spans="1:21" ht="25.05" customHeight="1">
      <c r="A36" s="20" t="s">
        <v>4</v>
      </c>
      <c r="B36" s="20" t="s">
        <v>97</v>
      </c>
      <c r="C36" s="80" t="str">
        <f>IFERROR(VLOOKUP(B36,#REF!,5,FALSE),"")</f>
        <v/>
      </c>
      <c r="D36" s="98">
        <v>987654321</v>
      </c>
      <c r="E36" s="20">
        <v>933778779</v>
      </c>
      <c r="F36" s="20" t="s">
        <v>212</v>
      </c>
      <c r="G36" s="20" t="s">
        <v>100</v>
      </c>
      <c r="H36" s="20">
        <v>11642921</v>
      </c>
      <c r="I36" s="83">
        <v>45707</v>
      </c>
      <c r="J36" s="84">
        <v>45736</v>
      </c>
      <c r="K36" s="21" t="s">
        <v>101</v>
      </c>
      <c r="L36" s="30">
        <v>227784</v>
      </c>
      <c r="M36" s="30">
        <v>227784</v>
      </c>
      <c r="N36" s="62" t="s">
        <v>128</v>
      </c>
      <c r="P36" s="22"/>
      <c r="Q36" s="22"/>
      <c r="R36" s="77"/>
      <c r="T36" s="40">
        <f>MONTH('Gastos de Operación'!$J36)</f>
        <v>3</v>
      </c>
      <c r="U36" s="39">
        <f>YEAR('Gastos de Operación'!$J36)</f>
        <v>2025</v>
      </c>
    </row>
    <row r="37" spans="1:21" ht="25.05" customHeight="1">
      <c r="A37" s="20" t="s">
        <v>4</v>
      </c>
      <c r="B37" s="20" t="s">
        <v>97</v>
      </c>
      <c r="C37" s="80" t="str">
        <f>IFERROR(VLOOKUP(B37,#REF!,5,FALSE),"")</f>
        <v/>
      </c>
      <c r="D37" s="98">
        <v>987654321</v>
      </c>
      <c r="E37" s="20">
        <v>379788739</v>
      </c>
      <c r="F37" s="20" t="s">
        <v>229</v>
      </c>
      <c r="G37" s="20" t="s">
        <v>100</v>
      </c>
      <c r="H37" s="20">
        <v>8098</v>
      </c>
      <c r="I37" s="83">
        <v>45672</v>
      </c>
      <c r="J37" s="84">
        <v>45701</v>
      </c>
      <c r="K37" s="21" t="s">
        <v>101</v>
      </c>
      <c r="L37" s="30">
        <v>430000</v>
      </c>
      <c r="M37" s="30">
        <v>430000</v>
      </c>
      <c r="N37" s="62" t="s">
        <v>129</v>
      </c>
      <c r="P37" s="22"/>
      <c r="Q37" s="22"/>
      <c r="R37" s="77"/>
      <c r="T37" s="40">
        <f>MONTH('Gastos de Operación'!$J37)</f>
        <v>2</v>
      </c>
      <c r="U37" s="39">
        <f>YEAR('Gastos de Operación'!$J37)</f>
        <v>2025</v>
      </c>
    </row>
    <row r="38" spans="1:21" ht="25.05" customHeight="1">
      <c r="A38" s="20" t="s">
        <v>4</v>
      </c>
      <c r="B38" s="20" t="s">
        <v>97</v>
      </c>
      <c r="C38" s="80" t="str">
        <f>IFERROR(VLOOKUP(B38,#REF!,5,FALSE),"")</f>
        <v/>
      </c>
      <c r="D38" s="98">
        <v>987654321</v>
      </c>
      <c r="E38" s="20">
        <v>379788739</v>
      </c>
      <c r="F38" s="20" t="s">
        <v>229</v>
      </c>
      <c r="G38" s="20" t="s">
        <v>100</v>
      </c>
      <c r="H38" s="20">
        <v>8104</v>
      </c>
      <c r="I38" s="83">
        <v>45680</v>
      </c>
      <c r="J38" s="84">
        <v>45736</v>
      </c>
      <c r="K38" s="21" t="s">
        <v>101</v>
      </c>
      <c r="L38" s="30">
        <v>430000</v>
      </c>
      <c r="M38" s="30">
        <v>430000</v>
      </c>
      <c r="N38" s="62" t="s">
        <v>129</v>
      </c>
      <c r="P38" s="22"/>
      <c r="Q38" s="22"/>
      <c r="R38" s="77"/>
      <c r="T38" s="40">
        <f>MONTH('Gastos de Operación'!$J38)</f>
        <v>3</v>
      </c>
      <c r="U38" s="39">
        <f>YEAR('Gastos de Operación'!$J38)</f>
        <v>2025</v>
      </c>
    </row>
    <row r="39" spans="1:21" ht="25.5" customHeight="1">
      <c r="A39" s="20" t="s">
        <v>4</v>
      </c>
      <c r="B39" s="20" t="s">
        <v>88</v>
      </c>
      <c r="C39" s="80" t="str">
        <f>IFERROR(VLOOKUP(B39,#REF!,5,FALSE),"")</f>
        <v/>
      </c>
      <c r="D39" s="98">
        <v>987654321</v>
      </c>
      <c r="E39" s="20">
        <v>98877777</v>
      </c>
      <c r="F39" s="20" t="s">
        <v>213</v>
      </c>
      <c r="G39" s="20" t="s">
        <v>100</v>
      </c>
      <c r="H39" s="20">
        <v>242417</v>
      </c>
      <c r="I39" s="83">
        <v>45958</v>
      </c>
      <c r="J39" s="84">
        <v>45988</v>
      </c>
      <c r="K39" s="21" t="s">
        <v>101</v>
      </c>
      <c r="L39" s="30">
        <v>43838124</v>
      </c>
      <c r="M39" s="30">
        <v>43838124</v>
      </c>
      <c r="N39" s="62" t="s">
        <v>135</v>
      </c>
      <c r="P39" s="22"/>
      <c r="Q39" s="22"/>
      <c r="R39" s="77"/>
      <c r="T39" s="40">
        <f>MONTH('Gastos de Operación'!$J39)</f>
        <v>11</v>
      </c>
      <c r="U39" s="39">
        <f>YEAR('Gastos de Operación'!$J39)</f>
        <v>2025</v>
      </c>
    </row>
    <row r="40" spans="1:21" ht="25.5" customHeight="1">
      <c r="A40" s="20" t="s">
        <v>4</v>
      </c>
      <c r="B40" s="20" t="s">
        <v>88</v>
      </c>
      <c r="C40" s="80" t="str">
        <f>IFERROR(VLOOKUP(B40,#REF!,5,FALSE),"")</f>
        <v/>
      </c>
      <c r="D40" s="98">
        <v>987654321</v>
      </c>
      <c r="E40" s="20">
        <v>777778777</v>
      </c>
      <c r="F40" s="20" t="s">
        <v>214</v>
      </c>
      <c r="G40" s="20" t="s">
        <v>100</v>
      </c>
      <c r="H40" s="20">
        <v>1564</v>
      </c>
      <c r="I40" s="83">
        <v>45881</v>
      </c>
      <c r="J40" s="84">
        <v>45911</v>
      </c>
      <c r="K40" s="21" t="s">
        <v>101</v>
      </c>
      <c r="L40" s="30">
        <v>39456050</v>
      </c>
      <c r="M40" s="30">
        <v>39456050</v>
      </c>
      <c r="N40" s="62" t="s">
        <v>134</v>
      </c>
      <c r="P40" s="22"/>
      <c r="Q40" s="22"/>
      <c r="R40" s="77"/>
      <c r="T40" s="40">
        <f>MONTH('Gastos de Operación'!$J40)</f>
        <v>9</v>
      </c>
      <c r="U40" s="39">
        <f>YEAR('Gastos de Operación'!$J40)</f>
        <v>2025</v>
      </c>
    </row>
    <row r="41" spans="1:21" ht="25.5" customHeight="1">
      <c r="A41" s="20" t="s">
        <v>4</v>
      </c>
      <c r="B41" s="20" t="s">
        <v>87</v>
      </c>
      <c r="C41" s="80" t="str">
        <f>IFERROR(VLOOKUP(B41,#REF!,5,FALSE),"")</f>
        <v/>
      </c>
      <c r="D41" s="98">
        <v>987654321</v>
      </c>
      <c r="E41" s="20">
        <v>837978773</v>
      </c>
      <c r="F41" s="20" t="s">
        <v>192</v>
      </c>
      <c r="G41" s="20" t="s">
        <v>100</v>
      </c>
      <c r="H41" s="20">
        <v>6153832</v>
      </c>
      <c r="I41" s="83">
        <v>45892</v>
      </c>
      <c r="J41" s="84">
        <v>45953</v>
      </c>
      <c r="K41" s="21" t="s">
        <v>101</v>
      </c>
      <c r="L41" s="30">
        <v>18620525</v>
      </c>
      <c r="M41" s="30">
        <f>L41</f>
        <v>18620525</v>
      </c>
      <c r="N41" s="62" t="s">
        <v>136</v>
      </c>
      <c r="P41" s="22"/>
      <c r="Q41" s="22"/>
      <c r="R41" s="77"/>
      <c r="T41" s="40">
        <f>MONTH('Gastos de Operación'!$J41)</f>
        <v>10</v>
      </c>
      <c r="U41" s="39">
        <f>YEAR('Gastos de Operación'!$J41)</f>
        <v>2025</v>
      </c>
    </row>
    <row r="42" spans="1:21" ht="25.5" customHeight="1">
      <c r="A42" s="20" t="s">
        <v>4</v>
      </c>
      <c r="B42" s="20" t="s">
        <v>88</v>
      </c>
      <c r="C42" s="80" t="str">
        <f>IFERROR(VLOOKUP(B42,#REF!,5,FALSE),"")</f>
        <v/>
      </c>
      <c r="D42" s="98">
        <v>987654321</v>
      </c>
      <c r="E42" s="25" t="s">
        <v>232</v>
      </c>
      <c r="F42" s="20" t="s">
        <v>204</v>
      </c>
      <c r="G42" s="20" t="s">
        <v>100</v>
      </c>
      <c r="H42" s="20">
        <v>420977</v>
      </c>
      <c r="I42" s="83">
        <v>45868</v>
      </c>
      <c r="J42" s="84">
        <v>45897</v>
      </c>
      <c r="K42" s="21" t="s">
        <v>101</v>
      </c>
      <c r="L42" s="30">
        <v>10466479</v>
      </c>
      <c r="M42" s="30">
        <f>L42</f>
        <v>10466479</v>
      </c>
      <c r="N42" s="62" t="s">
        <v>137</v>
      </c>
      <c r="P42" s="22"/>
      <c r="Q42" s="22"/>
      <c r="R42" s="77"/>
      <c r="T42" s="40">
        <f>MONTH('Gastos de Operación'!$J42)</f>
        <v>8</v>
      </c>
      <c r="U42" s="39">
        <f>YEAR('Gastos de Operación'!$J42)</f>
        <v>2025</v>
      </c>
    </row>
    <row r="43" spans="1:21" ht="25.5" customHeight="1">
      <c r="A43" s="20" t="s">
        <v>4</v>
      </c>
      <c r="B43" s="20" t="s">
        <v>90</v>
      </c>
      <c r="C43" s="80" t="str">
        <f>IFERROR(VLOOKUP(B43,#REF!,5,FALSE),"")</f>
        <v/>
      </c>
      <c r="D43" s="98">
        <v>987654321</v>
      </c>
      <c r="E43" s="25" t="s">
        <v>232</v>
      </c>
      <c r="F43" s="20" t="s">
        <v>204</v>
      </c>
      <c r="G43" s="20" t="s">
        <v>100</v>
      </c>
      <c r="H43" s="20">
        <v>420703</v>
      </c>
      <c r="I43" s="83">
        <v>45866</v>
      </c>
      <c r="J43" s="84">
        <v>45904</v>
      </c>
      <c r="K43" s="21" t="s">
        <v>101</v>
      </c>
      <c r="L43" s="30">
        <v>7392960</v>
      </c>
      <c r="M43" s="30">
        <v>7392960</v>
      </c>
      <c r="N43" s="62" t="s">
        <v>138</v>
      </c>
      <c r="P43" s="22"/>
      <c r="Q43" s="22"/>
      <c r="R43" s="77"/>
      <c r="T43" s="40">
        <f>MONTH('Gastos de Operación'!$J43)</f>
        <v>9</v>
      </c>
      <c r="U43" s="39">
        <f>YEAR('Gastos de Operación'!$J43)</f>
        <v>2025</v>
      </c>
    </row>
    <row r="44" spans="1:21" ht="25.5" customHeight="1">
      <c r="A44" s="20" t="s">
        <v>4</v>
      </c>
      <c r="B44" s="20" t="s">
        <v>90</v>
      </c>
      <c r="C44" s="80" t="str">
        <f>IFERROR(VLOOKUP(B44,#REF!,5,FALSE),"")</f>
        <v/>
      </c>
      <c r="D44" s="98">
        <v>987654321</v>
      </c>
      <c r="E44" s="20">
        <v>773787373</v>
      </c>
      <c r="F44" s="20" t="s">
        <v>215</v>
      </c>
      <c r="G44" s="20" t="s">
        <v>100</v>
      </c>
      <c r="H44" s="20">
        <v>313</v>
      </c>
      <c r="I44" s="83">
        <v>45950</v>
      </c>
      <c r="J44" s="84">
        <v>45960</v>
      </c>
      <c r="K44" s="21" t="s">
        <v>101</v>
      </c>
      <c r="L44" s="30">
        <v>7840770</v>
      </c>
      <c r="M44" s="30">
        <f>7840770-2524901.6</f>
        <v>5315868.4000000004</v>
      </c>
      <c r="N44" s="62" t="s">
        <v>157</v>
      </c>
      <c r="P44" s="22"/>
      <c r="Q44" s="22"/>
      <c r="R44" s="77"/>
      <c r="T44" s="40">
        <f>MONTH('Gastos de Operación'!$J44)</f>
        <v>10</v>
      </c>
      <c r="U44" s="39">
        <f>YEAR('Gastos de Operación'!$J44)</f>
        <v>2025</v>
      </c>
    </row>
    <row r="45" spans="1:21" ht="25.5" customHeight="1">
      <c r="A45" s="20" t="s">
        <v>4</v>
      </c>
      <c r="B45" s="20" t="s">
        <v>91</v>
      </c>
      <c r="C45" s="80" t="str">
        <f>IFERROR(VLOOKUP(B45,#REF!,5,FALSE),"")</f>
        <v/>
      </c>
      <c r="D45" s="98">
        <v>987654321</v>
      </c>
      <c r="E45" s="20">
        <v>787837873</v>
      </c>
      <c r="F45" s="20" t="s">
        <v>209</v>
      </c>
      <c r="G45" s="20" t="s">
        <v>100</v>
      </c>
      <c r="H45" s="20">
        <v>85139</v>
      </c>
      <c r="I45" s="83">
        <v>45933</v>
      </c>
      <c r="J45" s="84">
        <v>45960</v>
      </c>
      <c r="K45" s="21" t="s">
        <v>101</v>
      </c>
      <c r="L45" s="30">
        <v>1053876</v>
      </c>
      <c r="M45" s="30">
        <v>1053876</v>
      </c>
      <c r="N45" s="62" t="s">
        <v>139</v>
      </c>
      <c r="P45" s="22"/>
      <c r="Q45" s="22"/>
      <c r="R45" s="77"/>
      <c r="T45" s="40">
        <f>MONTH('Gastos de Operación'!$J45)</f>
        <v>10</v>
      </c>
      <c r="U45" s="39">
        <f>YEAR('Gastos de Operación'!$J45)</f>
        <v>2025</v>
      </c>
    </row>
    <row r="46" spans="1:21" ht="25.5" customHeight="1">
      <c r="A46" s="20" t="s">
        <v>4</v>
      </c>
      <c r="B46" s="20" t="s">
        <v>91</v>
      </c>
      <c r="C46" s="80" t="str">
        <f>IFERROR(VLOOKUP(B46,#REF!,5,FALSE),"")</f>
        <v/>
      </c>
      <c r="D46" s="98">
        <v>987654321</v>
      </c>
      <c r="E46" s="20">
        <v>738893373</v>
      </c>
      <c r="F46" s="20" t="s">
        <v>216</v>
      </c>
      <c r="G46" s="20" t="s">
        <v>100</v>
      </c>
      <c r="H46" s="20">
        <v>55610</v>
      </c>
      <c r="I46" s="83">
        <v>45898</v>
      </c>
      <c r="J46" s="84">
        <v>45911</v>
      </c>
      <c r="K46" s="21" t="s">
        <v>101</v>
      </c>
      <c r="L46" s="30">
        <v>687259</v>
      </c>
      <c r="M46" s="30">
        <v>687259</v>
      </c>
      <c r="N46" s="62" t="s">
        <v>139</v>
      </c>
      <c r="P46" s="22"/>
      <c r="Q46" s="22"/>
      <c r="R46" s="77"/>
      <c r="T46" s="40">
        <f>MONTH('Gastos de Operación'!$J46)</f>
        <v>9</v>
      </c>
      <c r="U46" s="39">
        <f>YEAR('Gastos de Operación'!$J46)</f>
        <v>2025</v>
      </c>
    </row>
    <row r="47" spans="1:21" ht="25.5" customHeight="1">
      <c r="A47" s="20" t="s">
        <v>4</v>
      </c>
      <c r="B47" s="20" t="s">
        <v>92</v>
      </c>
      <c r="C47" s="80" t="str">
        <f>IFERROR(VLOOKUP(B47,#REF!,5,FALSE),"")</f>
        <v/>
      </c>
      <c r="D47" s="98">
        <v>987654321</v>
      </c>
      <c r="E47" s="20">
        <v>873738777</v>
      </c>
      <c r="F47" s="20" t="s">
        <v>217</v>
      </c>
      <c r="G47" s="20" t="s">
        <v>100</v>
      </c>
      <c r="H47" s="20">
        <v>887965</v>
      </c>
      <c r="I47" s="83">
        <v>45939</v>
      </c>
      <c r="J47" s="84">
        <v>45974</v>
      </c>
      <c r="K47" s="21" t="s">
        <v>101</v>
      </c>
      <c r="L47" s="30">
        <v>2488800</v>
      </c>
      <c r="M47" s="30">
        <f>L47</f>
        <v>2488800</v>
      </c>
      <c r="N47" s="62" t="s">
        <v>140</v>
      </c>
      <c r="P47" s="22"/>
      <c r="Q47" s="22"/>
      <c r="R47" s="77"/>
      <c r="T47" s="40">
        <f>MONTH('Gastos de Operación'!$J47)</f>
        <v>11</v>
      </c>
      <c r="U47" s="39">
        <f>YEAR('Gastos de Operación'!$J47)</f>
        <v>2025</v>
      </c>
    </row>
    <row r="48" spans="1:21" ht="25.5" customHeight="1">
      <c r="A48" s="20" t="s">
        <v>4</v>
      </c>
      <c r="B48" s="20" t="s">
        <v>92</v>
      </c>
      <c r="C48" s="80" t="str">
        <f>IFERROR(VLOOKUP(B48,#REF!,5,FALSE),"")</f>
        <v/>
      </c>
      <c r="D48" s="98">
        <v>987654321</v>
      </c>
      <c r="E48" s="20">
        <v>873738777</v>
      </c>
      <c r="F48" s="20" t="s">
        <v>217</v>
      </c>
      <c r="G48" s="20" t="s">
        <v>100</v>
      </c>
      <c r="H48" s="20">
        <v>887797</v>
      </c>
      <c r="I48" s="83">
        <v>45937</v>
      </c>
      <c r="J48" s="84">
        <v>45967</v>
      </c>
      <c r="K48" s="21" t="s">
        <v>101</v>
      </c>
      <c r="L48" s="30">
        <v>2099280</v>
      </c>
      <c r="M48" s="30">
        <f>L48</f>
        <v>2099280</v>
      </c>
      <c r="N48" s="62" t="s">
        <v>141</v>
      </c>
      <c r="P48" s="22"/>
      <c r="Q48" s="22"/>
      <c r="R48" s="77"/>
      <c r="T48" s="40">
        <f>MONTH('Gastos de Operación'!$J48)</f>
        <v>11</v>
      </c>
      <c r="U48" s="39">
        <f>YEAR('Gastos de Operación'!$J48)</f>
        <v>2025</v>
      </c>
    </row>
    <row r="49" spans="1:21" ht="25.5" customHeight="1">
      <c r="A49" s="20" t="s">
        <v>4</v>
      </c>
      <c r="B49" s="20" t="s">
        <v>92</v>
      </c>
      <c r="C49" s="80" t="str">
        <f>IFERROR(VLOOKUP(B49,#REF!,5,FALSE),"")</f>
        <v/>
      </c>
      <c r="D49" s="98">
        <v>987654321</v>
      </c>
      <c r="E49" s="20">
        <v>873738777</v>
      </c>
      <c r="F49" s="20" t="s">
        <v>217</v>
      </c>
      <c r="G49" s="20" t="s">
        <v>100</v>
      </c>
      <c r="H49" s="20">
        <v>887793</v>
      </c>
      <c r="I49" s="83">
        <v>45937</v>
      </c>
      <c r="J49" s="84">
        <v>45967</v>
      </c>
      <c r="K49" s="21" t="s">
        <v>101</v>
      </c>
      <c r="L49" s="30">
        <v>1848250</v>
      </c>
      <c r="M49" s="30">
        <f>L49</f>
        <v>1848250</v>
      </c>
      <c r="N49" s="62" t="s">
        <v>142</v>
      </c>
      <c r="P49" s="22"/>
      <c r="Q49" s="22"/>
      <c r="R49" s="77"/>
      <c r="T49" s="40">
        <f>MONTH('Gastos de Operación'!$J49)</f>
        <v>11</v>
      </c>
      <c r="U49" s="39">
        <f>YEAR('Gastos de Operación'!$J49)</f>
        <v>2025</v>
      </c>
    </row>
    <row r="50" spans="1:21" ht="25.5" customHeight="1">
      <c r="A50" s="20" t="s">
        <v>4</v>
      </c>
      <c r="B50" s="20" t="s">
        <v>92</v>
      </c>
      <c r="C50" s="80" t="str">
        <f>IFERROR(VLOOKUP(B50,#REF!,5,FALSE),"")</f>
        <v/>
      </c>
      <c r="D50" s="98">
        <v>987654321</v>
      </c>
      <c r="E50" s="20">
        <v>739779833</v>
      </c>
      <c r="F50" s="20" t="s">
        <v>218</v>
      </c>
      <c r="G50" s="20" t="s">
        <v>100</v>
      </c>
      <c r="H50" s="20">
        <v>664</v>
      </c>
      <c r="I50" s="83">
        <v>45891</v>
      </c>
      <c r="J50" s="84">
        <v>45904</v>
      </c>
      <c r="K50" s="21" t="s">
        <v>101</v>
      </c>
      <c r="L50" s="30">
        <v>117600</v>
      </c>
      <c r="M50" s="30">
        <v>117600</v>
      </c>
      <c r="N50" s="62" t="s">
        <v>145</v>
      </c>
      <c r="P50" s="22"/>
      <c r="Q50" s="22"/>
      <c r="R50" s="77"/>
      <c r="T50" s="40">
        <f>MONTH('Gastos de Operación'!$J50)</f>
        <v>9</v>
      </c>
      <c r="U50" s="39">
        <f>YEAR('Gastos de Operación'!$J50)</f>
        <v>2025</v>
      </c>
    </row>
    <row r="51" spans="1:21" ht="25.5" customHeight="1">
      <c r="A51" s="20" t="s">
        <v>4</v>
      </c>
      <c r="B51" s="20" t="s">
        <v>93</v>
      </c>
      <c r="C51" s="80" t="str">
        <f>IFERROR(VLOOKUP(B51,#REF!,5,FALSE),"")</f>
        <v/>
      </c>
      <c r="D51" s="98">
        <v>987654321</v>
      </c>
      <c r="E51" s="25" t="s">
        <v>233</v>
      </c>
      <c r="F51" s="20" t="s">
        <v>219</v>
      </c>
      <c r="G51" s="20" t="s">
        <v>100</v>
      </c>
      <c r="H51" s="20">
        <v>4265</v>
      </c>
      <c r="I51" s="83">
        <v>45910</v>
      </c>
      <c r="J51" s="84">
        <v>45932</v>
      </c>
      <c r="K51" s="21" t="s">
        <v>101</v>
      </c>
      <c r="L51" s="30">
        <v>393218</v>
      </c>
      <c r="M51" s="30">
        <v>393218</v>
      </c>
      <c r="N51" s="62" t="s">
        <v>143</v>
      </c>
      <c r="P51" s="22"/>
      <c r="Q51" s="22"/>
      <c r="R51" s="77"/>
      <c r="T51" s="40">
        <f>MONTH('Gastos de Operación'!$J51)</f>
        <v>10</v>
      </c>
      <c r="U51" s="39">
        <f>YEAR('Gastos de Operación'!$J51)</f>
        <v>2025</v>
      </c>
    </row>
    <row r="52" spans="1:21" ht="25.5" customHeight="1">
      <c r="A52" s="20" t="s">
        <v>4</v>
      </c>
      <c r="B52" s="20" t="s">
        <v>94</v>
      </c>
      <c r="C52" s="80" t="str">
        <f>IFERROR(VLOOKUP(B52,#REF!,5,FALSE),"")</f>
        <v/>
      </c>
      <c r="D52" s="98">
        <v>987654321</v>
      </c>
      <c r="E52" s="20">
        <v>838877777</v>
      </c>
      <c r="F52" s="20" t="s">
        <v>220</v>
      </c>
      <c r="G52" s="20" t="s">
        <v>100</v>
      </c>
      <c r="H52" s="20">
        <v>3436926</v>
      </c>
      <c r="I52" s="83">
        <v>45901</v>
      </c>
      <c r="J52" s="84">
        <v>45932</v>
      </c>
      <c r="K52" s="21" t="s">
        <v>101</v>
      </c>
      <c r="L52" s="30">
        <v>542630</v>
      </c>
      <c r="M52" s="30">
        <f>L52</f>
        <v>542630</v>
      </c>
      <c r="N52" s="62" t="s">
        <v>144</v>
      </c>
      <c r="P52" s="22"/>
      <c r="Q52" s="22"/>
      <c r="R52" s="77"/>
      <c r="T52" s="40">
        <f>MONTH('Gastos de Operación'!$J52)</f>
        <v>10</v>
      </c>
      <c r="U52" s="39">
        <f>YEAR('Gastos de Operación'!$J52)</f>
        <v>2025</v>
      </c>
    </row>
    <row r="53" spans="1:21" ht="25.5" customHeight="1">
      <c r="A53" s="20" t="s">
        <v>4</v>
      </c>
      <c r="B53" s="20" t="s">
        <v>91</v>
      </c>
      <c r="C53" s="80" t="str">
        <f>IFERROR(VLOOKUP(B53,#REF!,5,FALSE),"")</f>
        <v/>
      </c>
      <c r="D53" s="98">
        <v>987654321</v>
      </c>
      <c r="E53" s="20">
        <v>838877777</v>
      </c>
      <c r="F53" s="20" t="s">
        <v>220</v>
      </c>
      <c r="G53" s="20" t="s">
        <v>100</v>
      </c>
      <c r="H53" s="20">
        <v>3397845</v>
      </c>
      <c r="I53" s="83">
        <v>45856</v>
      </c>
      <c r="J53" s="84">
        <v>45890</v>
      </c>
      <c r="K53" s="21" t="s">
        <v>101</v>
      </c>
      <c r="L53" s="30">
        <v>469731</v>
      </c>
      <c r="M53" s="30">
        <f>L53</f>
        <v>469731</v>
      </c>
      <c r="N53" s="62" t="s">
        <v>146</v>
      </c>
      <c r="P53" s="22"/>
      <c r="Q53" s="22"/>
      <c r="R53" s="77"/>
      <c r="T53" s="40">
        <f>MONTH('Gastos de Operación'!$J53)</f>
        <v>8</v>
      </c>
      <c r="U53" s="39">
        <f>YEAR('Gastos de Operación'!$J53)</f>
        <v>2025</v>
      </c>
    </row>
    <row r="54" spans="1:21" ht="25.5" customHeight="1">
      <c r="A54" s="20" t="s">
        <v>4</v>
      </c>
      <c r="B54" s="20" t="s">
        <v>91</v>
      </c>
      <c r="C54" s="80" t="str">
        <f>IFERROR(VLOOKUP(B54,#REF!,5,FALSE),"")</f>
        <v/>
      </c>
      <c r="D54" s="98">
        <v>987654321</v>
      </c>
      <c r="E54" s="20">
        <v>933777978</v>
      </c>
      <c r="F54" s="20" t="s">
        <v>221</v>
      </c>
      <c r="G54" s="20" t="s">
        <v>100</v>
      </c>
      <c r="H54" s="20">
        <v>2694655</v>
      </c>
      <c r="I54" s="83">
        <v>45818</v>
      </c>
      <c r="J54" s="84">
        <v>45911</v>
      </c>
      <c r="K54" s="21" t="s">
        <v>101</v>
      </c>
      <c r="L54" s="30">
        <v>498620</v>
      </c>
      <c r="M54" s="30">
        <f>L54</f>
        <v>498620</v>
      </c>
      <c r="N54" s="62" t="s">
        <v>147</v>
      </c>
      <c r="P54" s="22"/>
      <c r="Q54" s="22"/>
      <c r="R54" s="77"/>
      <c r="T54" s="40">
        <f>MONTH('Gastos de Operación'!$J54)</f>
        <v>9</v>
      </c>
      <c r="U54" s="39">
        <f>YEAR('Gastos de Operación'!$J54)</f>
        <v>2025</v>
      </c>
    </row>
    <row r="55" spans="1:21" ht="25.5" customHeight="1">
      <c r="A55" s="20" t="s">
        <v>4</v>
      </c>
      <c r="B55" s="20" t="s">
        <v>91</v>
      </c>
      <c r="C55" s="80" t="str">
        <f>IFERROR(VLOOKUP(B55,#REF!,5,FALSE),"")</f>
        <v/>
      </c>
      <c r="D55" s="98">
        <v>987654321</v>
      </c>
      <c r="E55" s="20">
        <v>778777377</v>
      </c>
      <c r="F55" s="20" t="s">
        <v>206</v>
      </c>
      <c r="G55" s="20" t="s">
        <v>100</v>
      </c>
      <c r="H55" s="20">
        <v>174566</v>
      </c>
      <c r="I55" s="83">
        <v>45946</v>
      </c>
      <c r="J55" s="84">
        <v>45974</v>
      </c>
      <c r="K55" s="21" t="s">
        <v>101</v>
      </c>
      <c r="L55" s="30">
        <v>479800</v>
      </c>
      <c r="M55" s="30">
        <f>L55</f>
        <v>479800</v>
      </c>
      <c r="N55" s="62" t="s">
        <v>148</v>
      </c>
      <c r="P55" s="22"/>
      <c r="Q55" s="22"/>
      <c r="R55" s="77"/>
      <c r="T55" s="40">
        <f>MONTH('Gastos de Operación'!$J55)</f>
        <v>11</v>
      </c>
      <c r="U55" s="39">
        <f>YEAR('Gastos de Operación'!$J55)</f>
        <v>2025</v>
      </c>
    </row>
    <row r="56" spans="1:21" ht="25.5" customHeight="1">
      <c r="A56" s="20" t="s">
        <v>4</v>
      </c>
      <c r="B56" s="20" t="s">
        <v>95</v>
      </c>
      <c r="C56" s="80" t="str">
        <f>IFERROR(VLOOKUP(B56,#REF!,5,FALSE),"")</f>
        <v/>
      </c>
      <c r="D56" s="98">
        <v>987654321</v>
      </c>
      <c r="E56" s="25" t="s">
        <v>234</v>
      </c>
      <c r="F56" s="20" t="s">
        <v>222</v>
      </c>
      <c r="G56" s="20" t="s">
        <v>100</v>
      </c>
      <c r="H56" s="20">
        <v>49</v>
      </c>
      <c r="I56" s="83">
        <v>45875</v>
      </c>
      <c r="J56" s="84">
        <v>45904</v>
      </c>
      <c r="K56" s="21" t="s">
        <v>101</v>
      </c>
      <c r="L56" s="30">
        <v>705900</v>
      </c>
      <c r="M56" s="30">
        <v>705900</v>
      </c>
      <c r="N56" s="62" t="s">
        <v>149</v>
      </c>
      <c r="P56" s="22"/>
      <c r="Q56" s="22"/>
      <c r="R56" s="77"/>
      <c r="T56" s="40">
        <f>MONTH('Gastos de Operación'!$J56)</f>
        <v>9</v>
      </c>
      <c r="U56" s="39">
        <f>YEAR('Gastos de Operación'!$J56)</f>
        <v>2025</v>
      </c>
    </row>
    <row r="57" spans="1:21" ht="25.5" customHeight="1">
      <c r="A57" s="20" t="s">
        <v>4</v>
      </c>
      <c r="B57" s="20" t="s">
        <v>95</v>
      </c>
      <c r="C57" s="80" t="str">
        <f>IFERROR(VLOOKUP(B57,#REF!,5,FALSE),"")</f>
        <v/>
      </c>
      <c r="D57" s="98">
        <v>987654321</v>
      </c>
      <c r="E57" s="20">
        <v>333398373</v>
      </c>
      <c r="F57" s="20" t="s">
        <v>223</v>
      </c>
      <c r="G57" s="20" t="s">
        <v>100</v>
      </c>
      <c r="H57" s="20">
        <v>553</v>
      </c>
      <c r="I57" s="83">
        <v>45901</v>
      </c>
      <c r="J57" s="84">
        <v>45911</v>
      </c>
      <c r="K57" s="21" t="s">
        <v>101</v>
      </c>
      <c r="L57" s="30">
        <v>700000</v>
      </c>
      <c r="M57" s="30">
        <v>700000</v>
      </c>
      <c r="N57" s="62" t="s">
        <v>150</v>
      </c>
      <c r="P57" s="22"/>
      <c r="Q57" s="22"/>
      <c r="R57" s="77"/>
      <c r="T57" s="40">
        <f>MONTH('Gastos de Operación'!$J57)</f>
        <v>9</v>
      </c>
      <c r="U57" s="39">
        <f>YEAR('Gastos de Operación'!$J57)</f>
        <v>2025</v>
      </c>
    </row>
    <row r="58" spans="1:21" ht="25.5" customHeight="1">
      <c r="A58" s="20" t="s">
        <v>4</v>
      </c>
      <c r="B58" s="20" t="s">
        <v>97</v>
      </c>
      <c r="C58" s="80" t="str">
        <f>IFERROR(VLOOKUP(B58,#REF!,5,FALSE),"")</f>
        <v/>
      </c>
      <c r="D58" s="98">
        <v>987654321</v>
      </c>
      <c r="E58" s="20">
        <v>933339773</v>
      </c>
      <c r="F58" s="20" t="s">
        <v>224</v>
      </c>
      <c r="G58" s="20" t="s">
        <v>100</v>
      </c>
      <c r="H58" s="20">
        <v>13995138</v>
      </c>
      <c r="I58" s="84">
        <v>45901</v>
      </c>
      <c r="J58" s="84">
        <v>45932</v>
      </c>
      <c r="K58" s="21" t="s">
        <v>101</v>
      </c>
      <c r="L58" s="30">
        <v>569162</v>
      </c>
      <c r="M58" s="30">
        <v>569162</v>
      </c>
      <c r="N58" s="62" t="s">
        <v>151</v>
      </c>
      <c r="P58" s="22"/>
      <c r="Q58" s="22"/>
      <c r="R58" s="77"/>
      <c r="T58" s="40">
        <f>MONTH('Gastos de Operación'!$J58)</f>
        <v>10</v>
      </c>
      <c r="U58" s="39">
        <f>YEAR('Gastos de Operación'!$J58)</f>
        <v>2025</v>
      </c>
    </row>
    <row r="59" spans="1:21" ht="25.5" customHeight="1">
      <c r="A59" s="20" t="s">
        <v>4</v>
      </c>
      <c r="B59" s="20" t="s">
        <v>87</v>
      </c>
      <c r="C59" s="80" t="str">
        <f>IFERROR(VLOOKUP(B59,#REF!,5,FALSE),"")</f>
        <v/>
      </c>
      <c r="D59" s="98">
        <v>987654321</v>
      </c>
      <c r="E59" s="20">
        <v>833787777</v>
      </c>
      <c r="F59" s="20" t="s">
        <v>225</v>
      </c>
      <c r="G59" s="20" t="s">
        <v>100</v>
      </c>
      <c r="H59" s="25">
        <v>2369342</v>
      </c>
      <c r="I59" s="83">
        <v>45757</v>
      </c>
      <c r="J59" s="84">
        <v>45786</v>
      </c>
      <c r="K59" s="21" t="s">
        <v>101</v>
      </c>
      <c r="L59" s="30">
        <v>12271976</v>
      </c>
      <c r="M59" s="30">
        <f>L59</f>
        <v>12271976</v>
      </c>
      <c r="N59" s="62" t="s">
        <v>159</v>
      </c>
      <c r="P59" s="22"/>
      <c r="Q59" s="22"/>
      <c r="R59" s="77"/>
      <c r="T59" s="40">
        <f>MONTH('Gastos de Operación'!$J59)</f>
        <v>5</v>
      </c>
      <c r="U59" s="39">
        <f>YEAR('Gastos de Operación'!$J59)</f>
        <v>2025</v>
      </c>
    </row>
    <row r="60" spans="1:21" ht="25.5" customHeight="1">
      <c r="A60" s="20" t="s">
        <v>4</v>
      </c>
      <c r="B60" s="20" t="s">
        <v>95</v>
      </c>
      <c r="C60" s="80" t="str">
        <f>IFERROR(VLOOKUP(B60,#REF!,5,FALSE),"")</f>
        <v/>
      </c>
      <c r="D60" s="98">
        <v>987654321</v>
      </c>
      <c r="E60" s="20">
        <v>379338773</v>
      </c>
      <c r="F60" s="20" t="s">
        <v>211</v>
      </c>
      <c r="G60" s="20" t="s">
        <v>100</v>
      </c>
      <c r="H60" s="25" t="s">
        <v>158</v>
      </c>
      <c r="I60" s="83">
        <v>45796</v>
      </c>
      <c r="J60" s="84">
        <v>45806</v>
      </c>
      <c r="K60" s="21" t="s">
        <v>101</v>
      </c>
      <c r="L60" s="30">
        <v>1532300</v>
      </c>
      <c r="M60" s="30">
        <f t="shared" ref="M60:M72" si="0">L60</f>
        <v>1532300</v>
      </c>
      <c r="N60" s="62" t="s">
        <v>160</v>
      </c>
      <c r="P60" s="22"/>
      <c r="Q60" s="22"/>
      <c r="R60" s="77"/>
      <c r="T60" s="40">
        <f>MONTH('Gastos de Operación'!$J60)</f>
        <v>5</v>
      </c>
      <c r="U60" s="39">
        <f>YEAR('Gastos de Operación'!$J60)</f>
        <v>2025</v>
      </c>
    </row>
    <row r="61" spans="1:21" ht="25.5" customHeight="1">
      <c r="A61" s="20" t="s">
        <v>4</v>
      </c>
      <c r="B61" s="20" t="s">
        <v>87</v>
      </c>
      <c r="C61" s="80" t="str">
        <f>IFERROR(VLOOKUP(B61,#REF!,5,FALSE),"")</f>
        <v/>
      </c>
      <c r="D61" s="98">
        <v>987654321</v>
      </c>
      <c r="E61" s="20">
        <v>737738897</v>
      </c>
      <c r="F61" s="20" t="s">
        <v>189</v>
      </c>
      <c r="G61" s="20" t="s">
        <v>100</v>
      </c>
      <c r="H61" s="25">
        <v>1046353</v>
      </c>
      <c r="I61" s="83">
        <v>45931</v>
      </c>
      <c r="J61" s="84">
        <v>45988</v>
      </c>
      <c r="K61" s="21" t="s">
        <v>101</v>
      </c>
      <c r="L61" s="30">
        <v>19305543</v>
      </c>
      <c r="M61" s="30">
        <f t="shared" si="0"/>
        <v>19305543</v>
      </c>
      <c r="N61" s="62" t="s">
        <v>161</v>
      </c>
      <c r="P61" s="22"/>
      <c r="Q61" s="22"/>
      <c r="R61" s="77"/>
      <c r="T61" s="40">
        <f>MONTH('Gastos de Operación'!$J61)</f>
        <v>11</v>
      </c>
      <c r="U61" s="39">
        <f>YEAR('Gastos de Operación'!$J61)</f>
        <v>2025</v>
      </c>
    </row>
    <row r="62" spans="1:21" ht="25.5" customHeight="1">
      <c r="A62" s="20" t="s">
        <v>4</v>
      </c>
      <c r="B62" s="20" t="s">
        <v>92</v>
      </c>
      <c r="C62" s="80" t="str">
        <f>IFERROR(VLOOKUP(B62,#REF!,5,FALSE),"")</f>
        <v/>
      </c>
      <c r="D62" s="98">
        <v>987654321</v>
      </c>
      <c r="E62" s="20">
        <v>873738777</v>
      </c>
      <c r="F62" s="20" t="s">
        <v>217</v>
      </c>
      <c r="G62" s="20" t="s">
        <v>100</v>
      </c>
      <c r="H62" s="25">
        <v>887794</v>
      </c>
      <c r="I62" s="83">
        <v>45937</v>
      </c>
      <c r="J62" s="84">
        <v>45988</v>
      </c>
      <c r="K62" s="21" t="s">
        <v>101</v>
      </c>
      <c r="L62" s="30">
        <v>809088</v>
      </c>
      <c r="M62" s="30">
        <f t="shared" si="0"/>
        <v>809088</v>
      </c>
      <c r="N62" s="62" t="s">
        <v>162</v>
      </c>
      <c r="P62" s="22"/>
      <c r="Q62" s="22"/>
      <c r="R62" s="77"/>
      <c r="T62" s="40">
        <f>MONTH('Gastos de Operación'!$J62)</f>
        <v>11</v>
      </c>
      <c r="U62" s="39">
        <f>YEAR('Gastos de Operación'!$J62)</f>
        <v>2025</v>
      </c>
    </row>
    <row r="63" spans="1:21" ht="25.5" customHeight="1">
      <c r="A63" s="20" t="s">
        <v>4</v>
      </c>
      <c r="B63" s="20" t="s">
        <v>87</v>
      </c>
      <c r="C63" s="80" t="str">
        <f>IFERROR(VLOOKUP(B63,#REF!,5,FALSE),"")</f>
        <v/>
      </c>
      <c r="D63" s="98">
        <v>987654321</v>
      </c>
      <c r="E63" s="20">
        <v>833787773</v>
      </c>
      <c r="F63" s="20" t="s">
        <v>226</v>
      </c>
      <c r="G63" s="20" t="s">
        <v>100</v>
      </c>
      <c r="H63" s="25">
        <v>2455158</v>
      </c>
      <c r="I63" s="83">
        <v>45912</v>
      </c>
      <c r="J63" s="84">
        <v>45995</v>
      </c>
      <c r="K63" s="21" t="s">
        <v>101</v>
      </c>
      <c r="L63" s="30">
        <v>8746985</v>
      </c>
      <c r="M63" s="30">
        <f t="shared" si="0"/>
        <v>8746985</v>
      </c>
      <c r="N63" s="62" t="s">
        <v>163</v>
      </c>
      <c r="P63" s="22"/>
      <c r="Q63" s="22"/>
      <c r="R63" s="77"/>
      <c r="T63" s="40">
        <f>MONTH('Gastos de Operación'!$J63)</f>
        <v>12</v>
      </c>
      <c r="U63" s="39">
        <f>YEAR('Gastos de Operación'!$J63)</f>
        <v>2025</v>
      </c>
    </row>
    <row r="64" spans="1:21" ht="25.5" customHeight="1">
      <c r="A64" s="20" t="s">
        <v>4</v>
      </c>
      <c r="B64" s="20" t="s">
        <v>87</v>
      </c>
      <c r="C64" s="80" t="str">
        <f>IFERROR(VLOOKUP(B64,#REF!,5,FALSE),"")</f>
        <v/>
      </c>
      <c r="D64" s="98">
        <v>987654321</v>
      </c>
      <c r="E64" s="20">
        <v>933838778</v>
      </c>
      <c r="F64" s="20" t="s">
        <v>190</v>
      </c>
      <c r="G64" s="20" t="s">
        <v>100</v>
      </c>
      <c r="H64" s="25">
        <v>2174567</v>
      </c>
      <c r="I64" s="83">
        <v>45943</v>
      </c>
      <c r="J64" s="84">
        <v>46002</v>
      </c>
      <c r="K64" s="21" t="s">
        <v>101</v>
      </c>
      <c r="L64" s="30">
        <v>2528427</v>
      </c>
      <c r="M64" s="30">
        <f t="shared" si="0"/>
        <v>2528427</v>
      </c>
      <c r="N64" s="62" t="s">
        <v>164</v>
      </c>
      <c r="P64" s="22"/>
      <c r="Q64" s="22"/>
      <c r="R64" s="77"/>
      <c r="T64" s="40">
        <f>MONTH('Gastos de Operación'!$J64)</f>
        <v>12</v>
      </c>
      <c r="U64" s="39">
        <f>YEAR('Gastos de Operación'!$J64)</f>
        <v>2025</v>
      </c>
    </row>
    <row r="65" spans="1:21" ht="25.5" customHeight="1">
      <c r="A65" s="20" t="s">
        <v>4</v>
      </c>
      <c r="B65" s="20" t="s">
        <v>87</v>
      </c>
      <c r="C65" s="80" t="str">
        <f>IFERROR(VLOOKUP(B65,#REF!,5,FALSE),"")</f>
        <v/>
      </c>
      <c r="D65" s="98">
        <v>987654321</v>
      </c>
      <c r="E65" s="20">
        <v>933838779</v>
      </c>
      <c r="F65" s="20" t="s">
        <v>190</v>
      </c>
      <c r="G65" s="20" t="s">
        <v>100</v>
      </c>
      <c r="H65" s="25">
        <v>2165762</v>
      </c>
      <c r="I65" s="83">
        <v>45936</v>
      </c>
      <c r="J65" s="84">
        <v>45995</v>
      </c>
      <c r="K65" s="21" t="s">
        <v>101</v>
      </c>
      <c r="L65" s="30">
        <v>1260000</v>
      </c>
      <c r="M65" s="30">
        <f t="shared" si="0"/>
        <v>1260000</v>
      </c>
      <c r="N65" s="62" t="s">
        <v>165</v>
      </c>
      <c r="P65" s="22"/>
      <c r="Q65" s="22"/>
      <c r="R65" s="77"/>
      <c r="T65" s="40">
        <f>MONTH('Gastos de Operación'!$J65)</f>
        <v>12</v>
      </c>
      <c r="U65" s="39">
        <f>YEAR('Gastos de Operación'!$J65)</f>
        <v>2025</v>
      </c>
    </row>
    <row r="66" spans="1:21" ht="25.5" customHeight="1">
      <c r="A66" s="20" t="s">
        <v>4</v>
      </c>
      <c r="B66" s="20" t="s">
        <v>87</v>
      </c>
      <c r="C66" s="80" t="str">
        <f>IFERROR(VLOOKUP(B66,#REF!,5,FALSE),"")</f>
        <v/>
      </c>
      <c r="D66" s="98">
        <v>987654321</v>
      </c>
      <c r="E66" s="20">
        <v>837978773</v>
      </c>
      <c r="F66" s="20" t="s">
        <v>192</v>
      </c>
      <c r="G66" s="20" t="s">
        <v>100</v>
      </c>
      <c r="H66" s="25">
        <v>6183989</v>
      </c>
      <c r="I66" s="83">
        <v>45938</v>
      </c>
      <c r="J66" s="84">
        <v>45995</v>
      </c>
      <c r="K66" s="21" t="s">
        <v>101</v>
      </c>
      <c r="L66" s="30">
        <v>1166000</v>
      </c>
      <c r="M66" s="30">
        <f t="shared" si="0"/>
        <v>1166000</v>
      </c>
      <c r="N66" s="62" t="s">
        <v>167</v>
      </c>
      <c r="P66" s="22"/>
      <c r="Q66" s="22"/>
      <c r="R66" s="77"/>
      <c r="T66" s="40">
        <f>MONTH('Gastos de Operación'!$J66)</f>
        <v>12</v>
      </c>
      <c r="U66" s="39">
        <f>YEAR('Gastos de Operación'!$J66)</f>
        <v>2025</v>
      </c>
    </row>
    <row r="67" spans="1:21" ht="25.5" customHeight="1">
      <c r="A67" s="20" t="s">
        <v>4</v>
      </c>
      <c r="B67" s="20" t="s">
        <v>88</v>
      </c>
      <c r="C67" s="80" t="str">
        <f>IFERROR(VLOOKUP(B67,#REF!,5,FALSE),"")</f>
        <v/>
      </c>
      <c r="D67" s="98">
        <v>987654321</v>
      </c>
      <c r="E67" s="20">
        <v>777389377</v>
      </c>
      <c r="F67" s="20" t="s">
        <v>205</v>
      </c>
      <c r="G67" s="20" t="s">
        <v>100</v>
      </c>
      <c r="H67" s="25">
        <v>111252</v>
      </c>
      <c r="I67" s="83">
        <v>45988</v>
      </c>
      <c r="J67" s="84">
        <v>46017</v>
      </c>
      <c r="K67" s="21" t="s">
        <v>101</v>
      </c>
      <c r="L67" s="30">
        <v>6675976</v>
      </c>
      <c r="M67" s="30">
        <f t="shared" si="0"/>
        <v>6675976</v>
      </c>
      <c r="N67" s="62" t="s">
        <v>166</v>
      </c>
      <c r="P67" s="22"/>
      <c r="Q67" s="22"/>
      <c r="R67" s="77"/>
      <c r="T67" s="40">
        <f>MONTH('Gastos de Operación'!$J67)</f>
        <v>12</v>
      </c>
      <c r="U67" s="39">
        <f>YEAR('Gastos de Operación'!$J67)</f>
        <v>2025</v>
      </c>
    </row>
    <row r="68" spans="1:21" ht="25.5" customHeight="1">
      <c r="A68" s="20" t="s">
        <v>4</v>
      </c>
      <c r="B68" s="20" t="s">
        <v>88</v>
      </c>
      <c r="C68" s="80" t="str">
        <f>IFERROR(VLOOKUP(B68,#REF!,5,FALSE),"")</f>
        <v/>
      </c>
      <c r="D68" s="98">
        <v>987654321</v>
      </c>
      <c r="E68" s="20">
        <v>777389377</v>
      </c>
      <c r="F68" s="20" t="s">
        <v>205</v>
      </c>
      <c r="G68" s="20" t="s">
        <v>100</v>
      </c>
      <c r="H68" s="25">
        <v>110661</v>
      </c>
      <c r="I68" s="83">
        <v>45967</v>
      </c>
      <c r="J68" s="84">
        <v>45995</v>
      </c>
      <c r="K68" s="21" t="s">
        <v>101</v>
      </c>
      <c r="L68" s="30">
        <v>3116301</v>
      </c>
      <c r="M68" s="30">
        <f t="shared" si="0"/>
        <v>3116301</v>
      </c>
      <c r="N68" s="62" t="s">
        <v>139</v>
      </c>
      <c r="P68" s="22"/>
      <c r="Q68" s="22"/>
      <c r="R68" s="77"/>
      <c r="T68" s="40">
        <f>MONTH('Gastos de Operación'!$J68)</f>
        <v>12</v>
      </c>
      <c r="U68" s="39">
        <f>YEAR('Gastos de Operación'!$J68)</f>
        <v>2025</v>
      </c>
    </row>
    <row r="69" spans="1:21" ht="25.5" customHeight="1">
      <c r="A69" s="20" t="s">
        <v>4</v>
      </c>
      <c r="B69" s="20" t="s">
        <v>88</v>
      </c>
      <c r="C69" s="80" t="str">
        <f>IFERROR(VLOOKUP(B69,#REF!,5,FALSE),"")</f>
        <v/>
      </c>
      <c r="D69" s="98">
        <v>987654321</v>
      </c>
      <c r="E69" s="20">
        <v>737877777</v>
      </c>
      <c r="F69" s="20" t="s">
        <v>227</v>
      </c>
      <c r="G69" s="20" t="s">
        <v>100</v>
      </c>
      <c r="H69" s="25">
        <v>9997</v>
      </c>
      <c r="I69" s="83">
        <v>45965</v>
      </c>
      <c r="J69" s="84">
        <v>45995</v>
      </c>
      <c r="K69" s="21" t="s">
        <v>101</v>
      </c>
      <c r="L69" s="30">
        <v>3113600</v>
      </c>
      <c r="M69" s="30">
        <f t="shared" si="0"/>
        <v>3113600</v>
      </c>
      <c r="N69" s="62" t="s">
        <v>168</v>
      </c>
      <c r="P69" s="22"/>
      <c r="Q69" s="22"/>
      <c r="R69" s="77"/>
      <c r="T69" s="40">
        <f>MONTH('Gastos de Operación'!$J69)</f>
        <v>12</v>
      </c>
      <c r="U69" s="39">
        <f>YEAR('Gastos de Operación'!$J69)</f>
        <v>2025</v>
      </c>
    </row>
    <row r="70" spans="1:21" ht="25.5" customHeight="1">
      <c r="A70" s="20" t="s">
        <v>4</v>
      </c>
      <c r="B70" s="20" t="s">
        <v>88</v>
      </c>
      <c r="C70" s="80" t="str">
        <f>IFERROR(VLOOKUP(B70,#REF!,5,FALSE),"")</f>
        <v/>
      </c>
      <c r="D70" s="98">
        <v>987654321</v>
      </c>
      <c r="E70" s="20">
        <v>988777777</v>
      </c>
      <c r="F70" s="20" t="s">
        <v>213</v>
      </c>
      <c r="G70" s="20" t="s">
        <v>100</v>
      </c>
      <c r="H70" s="25">
        <v>243612</v>
      </c>
      <c r="I70" s="83">
        <v>45985</v>
      </c>
      <c r="J70" s="84">
        <v>46009</v>
      </c>
      <c r="K70" s="21" t="s">
        <v>101</v>
      </c>
      <c r="L70" s="30">
        <v>1939740</v>
      </c>
      <c r="M70" s="30">
        <f t="shared" si="0"/>
        <v>1939740</v>
      </c>
      <c r="N70" s="62" t="s">
        <v>169</v>
      </c>
      <c r="P70" s="22"/>
      <c r="Q70" s="22"/>
      <c r="R70" s="77"/>
      <c r="T70" s="40">
        <f>MONTH('Gastos de Operación'!$J70)</f>
        <v>12</v>
      </c>
      <c r="U70" s="39">
        <f>YEAR('Gastos de Operación'!$J70)</f>
        <v>2025</v>
      </c>
    </row>
    <row r="71" spans="1:21" ht="25.5" customHeight="1">
      <c r="A71" s="20" t="s">
        <v>4</v>
      </c>
      <c r="B71" s="20" t="s">
        <v>88</v>
      </c>
      <c r="C71" s="80" t="str">
        <f>IFERROR(VLOOKUP(B71,#REF!,5,FALSE),"")</f>
        <v/>
      </c>
      <c r="D71" s="98">
        <v>987654321</v>
      </c>
      <c r="E71" s="20">
        <v>988777777</v>
      </c>
      <c r="F71" s="20" t="s">
        <v>213</v>
      </c>
      <c r="G71" s="20" t="s">
        <v>100</v>
      </c>
      <c r="H71" s="25">
        <v>243620</v>
      </c>
      <c r="I71" s="83">
        <v>45985</v>
      </c>
      <c r="J71" s="84">
        <v>46017</v>
      </c>
      <c r="K71" s="21" t="s">
        <v>101</v>
      </c>
      <c r="L71" s="30">
        <v>1481256</v>
      </c>
      <c r="M71" s="30">
        <f t="shared" si="0"/>
        <v>1481256</v>
      </c>
      <c r="N71" s="62" t="s">
        <v>169</v>
      </c>
      <c r="P71" s="22"/>
      <c r="Q71" s="22"/>
      <c r="R71" s="77"/>
      <c r="T71" s="40">
        <f>MONTH('Gastos de Operación'!$J71)</f>
        <v>12</v>
      </c>
      <c r="U71" s="39">
        <f>YEAR('Gastos de Operación'!$J71)</f>
        <v>2025</v>
      </c>
    </row>
    <row r="72" spans="1:21" ht="25.5" customHeight="1">
      <c r="A72" s="20" t="s">
        <v>4</v>
      </c>
      <c r="B72" s="20" t="s">
        <v>94</v>
      </c>
      <c r="C72" s="80" t="str">
        <f>IFERROR(VLOOKUP(B72,#REF!,5,FALSE),"")</f>
        <v/>
      </c>
      <c r="D72" s="98">
        <v>987654321</v>
      </c>
      <c r="E72" s="20">
        <v>838877777</v>
      </c>
      <c r="F72" s="20" t="s">
        <v>207</v>
      </c>
      <c r="G72" s="20" t="s">
        <v>100</v>
      </c>
      <c r="H72" s="25">
        <v>3506705</v>
      </c>
      <c r="I72" s="83">
        <v>45987</v>
      </c>
      <c r="J72" s="84">
        <v>46017</v>
      </c>
      <c r="K72" s="21" t="s">
        <v>101</v>
      </c>
      <c r="L72" s="30">
        <v>531000</v>
      </c>
      <c r="M72" s="30">
        <f t="shared" si="0"/>
        <v>531000</v>
      </c>
      <c r="N72" s="62" t="s">
        <v>170</v>
      </c>
      <c r="P72" s="22"/>
      <c r="Q72" s="22"/>
      <c r="R72" s="77"/>
      <c r="T72" s="40">
        <f>MONTH('Gastos de Operación'!$J72)</f>
        <v>12</v>
      </c>
      <c r="U72" s="39">
        <f>YEAR('Gastos de Operación'!$J72)</f>
        <v>2025</v>
      </c>
    </row>
    <row r="73" spans="1:21" ht="25.5" customHeight="1">
      <c r="A73" s="20" t="s">
        <v>4</v>
      </c>
      <c r="B73" s="20" t="s">
        <v>94</v>
      </c>
      <c r="C73" s="80" t="str">
        <f>IFERROR(VLOOKUP(B73,#REF!,5,FALSE),"")</f>
        <v/>
      </c>
      <c r="D73" s="98">
        <v>987654321</v>
      </c>
      <c r="E73" s="20">
        <v>933777978</v>
      </c>
      <c r="F73" s="20" t="s">
        <v>221</v>
      </c>
      <c r="G73" s="20" t="s">
        <v>100</v>
      </c>
      <c r="H73" s="25">
        <v>2832336</v>
      </c>
      <c r="I73" s="21">
        <v>45972</v>
      </c>
      <c r="J73" s="85">
        <v>46009</v>
      </c>
      <c r="K73" s="21" t="s">
        <v>101</v>
      </c>
      <c r="L73" s="30">
        <v>995040</v>
      </c>
      <c r="M73" s="30">
        <f>L73</f>
        <v>995040</v>
      </c>
      <c r="N73" s="62" t="s">
        <v>171</v>
      </c>
      <c r="P73" s="22"/>
      <c r="Q73" s="22"/>
      <c r="R73" s="77"/>
      <c r="T73" s="40">
        <f>MONTH('Gastos de Operación'!$J73)</f>
        <v>12</v>
      </c>
      <c r="U73" s="39">
        <f>YEAR('Gastos de Operación'!$J73)</f>
        <v>2025</v>
      </c>
    </row>
    <row r="74" spans="1:21" ht="25.5" customHeight="1">
      <c r="A74" s="20" t="s">
        <v>4</v>
      </c>
      <c r="B74" s="20" t="s">
        <v>96</v>
      </c>
      <c r="C74" s="80" t="str">
        <f>IFERROR(VLOOKUP(B74,#REF!,5,FALSE),"")</f>
        <v/>
      </c>
      <c r="D74" s="98">
        <v>987654321</v>
      </c>
      <c r="E74" s="20">
        <v>993777777</v>
      </c>
      <c r="F74" s="20" t="s">
        <v>228</v>
      </c>
      <c r="G74" s="20" t="s">
        <v>100</v>
      </c>
      <c r="H74" s="25">
        <v>27952168</v>
      </c>
      <c r="I74" s="21">
        <v>45940</v>
      </c>
      <c r="J74" s="85">
        <v>45940</v>
      </c>
      <c r="K74" s="21" t="s">
        <v>101</v>
      </c>
      <c r="L74" s="30">
        <v>6791897</v>
      </c>
      <c r="M74" s="30">
        <f>L74</f>
        <v>6791897</v>
      </c>
      <c r="N74" s="62" t="s">
        <v>96</v>
      </c>
      <c r="P74" s="22"/>
      <c r="Q74" s="22"/>
      <c r="R74" s="77"/>
      <c r="T74" s="40">
        <f>MONTH('Gastos de Operación'!$J74)</f>
        <v>10</v>
      </c>
      <c r="U74" s="39">
        <f>YEAR('Gastos de Operación'!$J74)</f>
        <v>2025</v>
      </c>
    </row>
    <row r="75" spans="1:21" ht="25.5" customHeight="1">
      <c r="A75" s="20" t="s">
        <v>4</v>
      </c>
      <c r="B75" s="20" t="s">
        <v>96</v>
      </c>
      <c r="C75" s="80" t="str">
        <f>IFERROR(VLOOKUP(B75,#REF!,5,FALSE),"")</f>
        <v/>
      </c>
      <c r="D75" s="98">
        <v>987654321</v>
      </c>
      <c r="E75" s="20">
        <v>993777777</v>
      </c>
      <c r="F75" s="20" t="s">
        <v>228</v>
      </c>
      <c r="G75" s="20" t="s">
        <v>100</v>
      </c>
      <c r="H75" s="25">
        <v>27965512</v>
      </c>
      <c r="I75" s="21">
        <v>45952</v>
      </c>
      <c r="J75" s="85">
        <v>45952</v>
      </c>
      <c r="K75" s="21" t="s">
        <v>101</v>
      </c>
      <c r="L75" s="30">
        <v>2944524</v>
      </c>
      <c r="M75" s="30">
        <f>L75</f>
        <v>2944524</v>
      </c>
      <c r="N75" s="62" t="s">
        <v>96</v>
      </c>
      <c r="P75" s="22"/>
      <c r="Q75" s="22"/>
      <c r="R75" s="77"/>
      <c r="T75" s="40">
        <f>MONTH('Gastos de Operación'!$J75)</f>
        <v>10</v>
      </c>
      <c r="U75" s="39">
        <f>YEAR('Gastos de Operación'!$J75)</f>
        <v>2025</v>
      </c>
    </row>
    <row r="76" spans="1:21" ht="25.05" customHeight="1">
      <c r="A76" s="26" t="s">
        <v>9</v>
      </c>
      <c r="B76" s="26"/>
      <c r="C76" s="26"/>
      <c r="D76" s="26"/>
      <c r="E76" s="26"/>
      <c r="F76" s="26"/>
      <c r="G76" s="26"/>
      <c r="H76" s="26"/>
      <c r="I76" s="31"/>
      <c r="J76" s="31"/>
      <c r="K76" s="31"/>
      <c r="L76" s="27">
        <f>SUM(L2:L75)</f>
        <v>498899005</v>
      </c>
      <c r="M76" s="27">
        <f>SUM(M2:M75)</f>
        <v>443773003.39999998</v>
      </c>
      <c r="N76" s="29"/>
      <c r="P76" s="78"/>
      <c r="Q76" s="78"/>
      <c r="R76" s="79"/>
      <c r="T76" s="40">
        <f>MONTH('Gastos de Operación'!$J76)</f>
        <v>1</v>
      </c>
      <c r="U76" s="39">
        <f>YEAR('Gastos de Operación'!$J76)</f>
        <v>1900</v>
      </c>
    </row>
  </sheetData>
  <autoFilter ref="A1:U76" xr:uid="{00000000-0001-0000-0600-000000000000}"/>
  <conditionalFormatting sqref="H2:H75">
    <cfRule type="duplicateValues" dxfId="11" priority="9"/>
  </conditionalFormatting>
  <dataValidations xWindow="495" yWindow="810" count="7">
    <dataValidation type="whole" allowBlank="1" showInputMessage="1" showErrorMessage="1" errorTitle="Advertencia" error="Debe ingresar las horas contratadas para la empresa" promptTitle="Total Factura" prompt="Debe ingresar el monto neto sin puntos ni comas" sqref="L1" xr:uid="{00000000-0002-0000-0600-000000000000}">
      <formula1>0</formula1>
      <formula2>999999999999999</formula2>
    </dataValidation>
    <dataValidation operator="greaterThan" allowBlank="1" showInputMessage="1" showErrorMessage="1" errorTitle="Advertencia" error="Debe ingresar Rut del Proveedor sin puntos ni guión_x000a_" promptTitle="Ingresar RUT" prompt="Debe ingresar el Rut del proveedor a rendir, sin puntos ni guion, y con digito verificador. _x000a_(ej: si el Rut es 10.154.584-5, debe ingresar 101545845)" sqref="E1" xr:uid="{00000000-0002-0000-0600-000001000000}"/>
    <dataValidation type="date" showInputMessage="1" showErrorMessage="1" errorTitle="Advertencia" error="Debe ingresar fecha válida" promptTitle="Ingrese fecha" prompt="Bajo el siguiente Formato:_x000a_dd-mm-aaaa_x000a_" sqref="I1:J1" xr:uid="{00000000-0002-0000-0600-000002000000}">
      <formula1>36526</formula1>
      <formula2>55153</formula2>
    </dataValidation>
    <dataValidation type="whole" allowBlank="1" showInputMessage="1" showErrorMessage="1" errorTitle="Advertencia" error="Debe ingresar las horas dedicadas de este profesional al proyecto" promptTitle="Monto con cargo al proyecto" prompt="Debe ingresar el monto de la factura con cargo al proyecto sin puntos ni comas" sqref="M1" xr:uid="{00000000-0002-0000-0600-000003000000}">
      <formula1>0</formula1>
      <formula2>999999999999999</formula2>
    </dataValidation>
    <dataValidation type="list" operator="lessThanOrEqual" showInputMessage="1" showErrorMessage="1" errorTitle="Advertencia" error="El largo del nombre del ítem es de 50 caracteres_x000a_" promptTitle="Ingresar Item" prompt="Debe ingresar el nombre del item._x000a_(ej: Si usa la cuenta de Servicios Básicos un ítem puede ser Agua)" sqref="B1" xr:uid="{00000000-0002-0000-0600-000006000000}">
      <formula1>GASTOS_DE_OPERACIÓN</formula1>
    </dataValidation>
    <dataValidation type="list" showInputMessage="1" showErrorMessage="1" errorTitle="Error" error="Debe seleccionar una cuenta válida" promptTitle="Cuentas de gastos" prompt="Seleccione la cuenta que se quiere rendir" sqref="A2:A75" xr:uid="{00000000-0002-0000-0600-000004000000}">
      <formula1>CUENTAS</formula1>
    </dataValidation>
    <dataValidation type="list" allowBlank="1" showInputMessage="1" showErrorMessage="1" sqref="P2:Q76" xr:uid="{156BA8BD-6F4B-4EF7-BEF1-F6093ED6D05A}">
      <formula1>"OK, PENDIENTE, CON OBSERVACIONES"</formula1>
    </dataValidation>
  </dataValidations>
  <pageMargins left="0.7" right="0.7" top="0.75" bottom="0.75" header="0.3" footer="0.3"/>
  <pageSetup orientation="portrait" r:id="rId1"/>
  <ignoredErrors>
    <ignoredError sqref="H60" numberStoredAsText="1"/>
  </ignoredErrors>
  <extLst>
    <ext xmlns:x14="http://schemas.microsoft.com/office/spreadsheetml/2009/9/main" uri="{78C0D931-6437-407d-A8EE-F0AAD7539E65}">
      <x14:conditionalFormattings>
        <x14:conditionalFormatting xmlns:xm="http://schemas.microsoft.com/office/excel/2006/main">
          <x14:cfRule type="cellIs" priority="3" operator="equal" id="{93D3D79C-9A12-4BF5-A9BB-AE8877E750AC}">
            <xm:f>#REF!</xm:f>
            <x14:dxf>
              <font>
                <color rgb="FF006100"/>
              </font>
              <fill>
                <patternFill>
                  <bgColor rgb="FFC6EFCE"/>
                </patternFill>
              </fill>
            </x14:dxf>
          </x14:cfRule>
          <xm:sqref>D2:D75</xm:sqref>
        </x14:conditionalFormatting>
      </x14:conditionalFormattings>
    </ext>
    <ext xmlns:x14="http://schemas.microsoft.com/office/spreadsheetml/2009/9/main" uri="{CCE6A557-97BC-4b89-ADB6-D9C93CAAB3DF}">
      <x14:dataValidations xmlns:xm="http://schemas.microsoft.com/office/excel/2006/main" xWindow="495" yWindow="810" count="3">
        <x14:dataValidation type="list" operator="lessThanOrEqual" showInputMessage="1" showErrorMessage="1" errorTitle="Advertencia" error="El largo del nombre del ítem es de 50 caracteres_x000a_" promptTitle="Ingresar Item" prompt="Debe ingresar el nombre del item._x000a_(ej: Si usa la cuenta de Servicios Básicos un ítem puede ser Agua)" xr:uid="{A4268EA3-A94E-483A-A330-D3EAD4E11647}">
          <x14:formula1>
            <xm:f>#REF!</xm:f>
          </x14:formula1>
          <xm:sqref>B2:B75</xm:sqref>
        </x14:dataValidation>
        <x14:dataValidation type="list" allowBlank="1" showInputMessage="1" showErrorMessage="1" xr:uid="{2DC9AD3A-7E03-4212-8453-44D3FFC0CE9E}">
          <x14:formula1>
            <xm:f>#REF!</xm:f>
          </x14:formula1>
          <xm:sqref>K2:K75</xm:sqref>
        </x14:dataValidation>
        <x14:dataValidation type="list" allowBlank="1" showInputMessage="1" showErrorMessage="1" xr:uid="{253DCE55-B3F2-4BB6-87B4-79A17AFF5730}">
          <x14:formula1>
            <xm:f>#REF!</xm:f>
          </x14:formula1>
          <xm:sqref>G2:G75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Y11"/>
  <sheetViews>
    <sheetView showGridLines="0" tabSelected="1" topLeftCell="H1" zoomScale="95" zoomScaleNormal="95" workbookViewId="0">
      <pane ySplit="1" topLeftCell="A3" activePane="bottomLeft" state="frozen"/>
      <selection pane="bottomLeft" activeCell="B16" sqref="B14:O16"/>
    </sheetView>
  </sheetViews>
  <sheetFormatPr defaultColWidth="11.46484375" defaultRowHeight="25.05" customHeight="1"/>
  <cols>
    <col min="1" max="1" width="19.796875" style="1" customWidth="1"/>
    <col min="2" max="2" width="41.53125" style="1" customWidth="1"/>
    <col min="3" max="3" width="13.73046875" style="1" customWidth="1"/>
    <col min="4" max="4" width="16.265625" style="1" customWidth="1"/>
    <col min="5" max="5" width="12.796875" style="2" customWidth="1"/>
    <col min="6" max="6" width="28.53125" style="2" customWidth="1"/>
    <col min="7" max="7" width="13.796875" style="1" customWidth="1"/>
    <col min="8" max="8" width="13.19921875" style="1" customWidth="1"/>
    <col min="9" max="11" width="16.19921875" style="3" customWidth="1"/>
    <col min="12" max="13" width="17.53125" style="4" customWidth="1"/>
    <col min="14" max="14" width="45.19921875" style="1" customWidth="1"/>
    <col min="15" max="15" width="14.796875" style="1" customWidth="1"/>
    <col min="16" max="16" width="11" style="9" customWidth="1"/>
    <col min="17" max="17" width="11.796875" style="9" customWidth="1"/>
    <col min="18" max="19" width="12.265625" style="9" customWidth="1"/>
    <col min="20" max="20" width="4.796875" style="38" bestFit="1" customWidth="1"/>
    <col min="21" max="21" width="5.53125" style="38" bestFit="1" customWidth="1"/>
    <col min="22" max="22" width="11.46484375" style="1" customWidth="1"/>
    <col min="23" max="16384" width="11.46484375" style="1"/>
  </cols>
  <sheetData>
    <row r="1" spans="1:25" ht="36.75" customHeight="1">
      <c r="A1" s="65" t="s">
        <v>8</v>
      </c>
      <c r="B1" s="65" t="s">
        <v>10</v>
      </c>
      <c r="C1" s="65" t="s">
        <v>7</v>
      </c>
      <c r="D1" s="65" t="s">
        <v>12</v>
      </c>
      <c r="E1" s="65" t="s">
        <v>28</v>
      </c>
      <c r="F1" s="65" t="s">
        <v>29</v>
      </c>
      <c r="G1" s="65" t="s">
        <v>15</v>
      </c>
      <c r="H1" s="65" t="s">
        <v>16</v>
      </c>
      <c r="I1" s="65" t="s">
        <v>30</v>
      </c>
      <c r="J1" s="65" t="s">
        <v>31</v>
      </c>
      <c r="K1" s="65" t="s">
        <v>19</v>
      </c>
      <c r="L1" s="65" t="s">
        <v>32</v>
      </c>
      <c r="M1" s="65" t="s">
        <v>23</v>
      </c>
      <c r="N1" s="68" t="s">
        <v>33</v>
      </c>
      <c r="P1" s="65" t="s">
        <v>50</v>
      </c>
      <c r="Q1" s="65" t="s">
        <v>49</v>
      </c>
      <c r="R1" s="65" t="s">
        <v>57</v>
      </c>
      <c r="T1" s="42" t="s">
        <v>25</v>
      </c>
      <c r="U1" s="42" t="s">
        <v>26</v>
      </c>
    </row>
    <row r="2" spans="1:25" ht="24" hidden="1" customHeight="1">
      <c r="A2" s="20" t="s">
        <v>5</v>
      </c>
      <c r="B2" s="20"/>
      <c r="C2" s="80" t="str">
        <f>IFERROR(VLOOKUP(B2,#REF!,5,FALSE),"")</f>
        <v/>
      </c>
      <c r="D2" s="20"/>
      <c r="E2" s="33"/>
      <c r="F2" s="20"/>
      <c r="G2" s="32"/>
      <c r="H2" s="32"/>
      <c r="I2" s="21"/>
      <c r="J2" s="21"/>
      <c r="K2" s="21"/>
      <c r="L2" s="34"/>
      <c r="M2" s="34"/>
      <c r="N2" s="35"/>
      <c r="P2" s="22"/>
      <c r="Q2" s="22"/>
      <c r="R2" s="77"/>
      <c r="T2" s="38">
        <f>MONTH(Pers.Juridica!$J2)</f>
        <v>1</v>
      </c>
      <c r="U2" s="38">
        <f>YEAR(Pers.Juridica!$J2)</f>
        <v>1900</v>
      </c>
    </row>
    <row r="3" spans="1:25" ht="25.05" customHeight="1">
      <c r="A3" s="20" t="s">
        <v>5</v>
      </c>
      <c r="B3" s="20" t="s">
        <v>235</v>
      </c>
      <c r="C3" s="80" t="str">
        <f>IFERROR(VLOOKUP(B3,#REF!,5,FALSE),"")</f>
        <v/>
      </c>
      <c r="D3" s="98">
        <v>987654321</v>
      </c>
      <c r="E3" s="33">
        <v>113180545</v>
      </c>
      <c r="F3" s="20" t="s">
        <v>215</v>
      </c>
      <c r="G3" s="32" t="s">
        <v>100</v>
      </c>
      <c r="H3" s="32">
        <v>252</v>
      </c>
      <c r="I3" s="21">
        <v>45740</v>
      </c>
      <c r="J3" s="21">
        <v>45750</v>
      </c>
      <c r="K3" s="21" t="s">
        <v>101</v>
      </c>
      <c r="L3" s="64">
        <v>7320680</v>
      </c>
      <c r="M3" s="64">
        <v>6969287</v>
      </c>
      <c r="N3" s="35" t="s">
        <v>130</v>
      </c>
      <c r="P3" s="22"/>
      <c r="Q3" s="22"/>
      <c r="R3" s="77"/>
      <c r="T3" s="38">
        <f>MONTH(Pers.Juridica!$J3)</f>
        <v>4</v>
      </c>
      <c r="U3" s="38">
        <f>YEAR(Pers.Juridica!$J3)</f>
        <v>2025</v>
      </c>
      <c r="V3" s="9"/>
      <c r="W3" s="9"/>
      <c r="X3" s="9"/>
      <c r="Y3" s="9"/>
    </row>
    <row r="4" spans="1:25" ht="25.05" customHeight="1">
      <c r="A4" s="20" t="s">
        <v>5</v>
      </c>
      <c r="B4" s="20" t="s">
        <v>235</v>
      </c>
      <c r="C4" s="80" t="str">
        <f>IFERROR(VLOOKUP(B4,#REF!,5,FALSE),"")</f>
        <v/>
      </c>
      <c r="D4" s="98">
        <v>987654321</v>
      </c>
      <c r="E4" s="33" t="s">
        <v>240</v>
      </c>
      <c r="F4" s="20" t="s">
        <v>199</v>
      </c>
      <c r="G4" s="32" t="s">
        <v>100</v>
      </c>
      <c r="H4" s="32">
        <v>28134</v>
      </c>
      <c r="I4" s="21">
        <v>45826</v>
      </c>
      <c r="J4" s="21">
        <v>45841</v>
      </c>
      <c r="K4" s="21" t="s">
        <v>101</v>
      </c>
      <c r="L4" s="64">
        <v>7600374</v>
      </c>
      <c r="M4" s="64">
        <v>7600374</v>
      </c>
      <c r="N4" s="35" t="s">
        <v>122</v>
      </c>
      <c r="P4" s="22"/>
      <c r="Q4" s="22"/>
      <c r="R4" s="77"/>
      <c r="T4" s="38">
        <f>MONTH(Pers.Juridica!$J4)</f>
        <v>7</v>
      </c>
      <c r="U4" s="38">
        <f>YEAR(Pers.Juridica!$J4)</f>
        <v>2025</v>
      </c>
      <c r="V4" s="9"/>
      <c r="W4" s="9"/>
      <c r="X4" s="9"/>
      <c r="Y4" s="9"/>
    </row>
    <row r="5" spans="1:25" ht="25.05" customHeight="1">
      <c r="A5" s="20" t="s">
        <v>5</v>
      </c>
      <c r="B5" s="20" t="s">
        <v>235</v>
      </c>
      <c r="C5" s="80" t="str">
        <f>IFERROR(VLOOKUP(B5,#REF!,5,FALSE),"")</f>
        <v/>
      </c>
      <c r="D5" s="98">
        <v>987654321</v>
      </c>
      <c r="E5" s="33" t="s">
        <v>240</v>
      </c>
      <c r="F5" s="20" t="s">
        <v>199</v>
      </c>
      <c r="G5" s="32" t="s">
        <v>100</v>
      </c>
      <c r="H5" s="32">
        <v>26892</v>
      </c>
      <c r="I5" s="21">
        <v>45721</v>
      </c>
      <c r="J5" s="21">
        <v>45736</v>
      </c>
      <c r="K5" s="21" t="s">
        <v>101</v>
      </c>
      <c r="L5" s="64">
        <v>7506721</v>
      </c>
      <c r="M5" s="64">
        <v>7506721</v>
      </c>
      <c r="N5" s="35" t="s">
        <v>122</v>
      </c>
      <c r="P5" s="22"/>
      <c r="Q5" s="22"/>
      <c r="R5" s="77"/>
      <c r="T5" s="38">
        <f>MONTH(Pers.Juridica!$J5)</f>
        <v>3</v>
      </c>
      <c r="U5" s="38">
        <f>YEAR(Pers.Juridica!$J5)</f>
        <v>2025</v>
      </c>
      <c r="V5" s="9"/>
      <c r="W5" s="9"/>
      <c r="X5" s="9"/>
      <c r="Y5" s="9"/>
    </row>
    <row r="6" spans="1:25" ht="25.05" customHeight="1">
      <c r="A6" s="20" t="s">
        <v>5</v>
      </c>
      <c r="B6" s="20" t="s">
        <v>236</v>
      </c>
      <c r="C6" s="80" t="str">
        <f>IFERROR(VLOOKUP(B6,#REF!,5,FALSE),"")</f>
        <v/>
      </c>
      <c r="D6" s="98">
        <v>987654321</v>
      </c>
      <c r="E6" s="33">
        <v>114303001</v>
      </c>
      <c r="F6" s="20" t="s">
        <v>237</v>
      </c>
      <c r="G6" s="32" t="s">
        <v>100</v>
      </c>
      <c r="H6" s="32">
        <v>45881</v>
      </c>
      <c r="I6" s="21">
        <v>45930</v>
      </c>
      <c r="J6" s="21">
        <v>45960</v>
      </c>
      <c r="K6" s="21" t="s">
        <v>101</v>
      </c>
      <c r="L6" s="64">
        <v>880000</v>
      </c>
      <c r="M6" s="64">
        <v>720000</v>
      </c>
      <c r="N6" s="35" t="s">
        <v>152</v>
      </c>
      <c r="P6" s="22"/>
      <c r="Q6" s="22"/>
      <c r="R6" s="77"/>
      <c r="T6" s="38">
        <f>MONTH(Pers.Juridica!$J6)</f>
        <v>10</v>
      </c>
      <c r="U6" s="38">
        <f>YEAR(Pers.Juridica!$J6)</f>
        <v>2025</v>
      </c>
      <c r="V6" s="9"/>
      <c r="W6" s="9"/>
      <c r="X6" s="9"/>
      <c r="Y6" s="9"/>
    </row>
    <row r="7" spans="1:25" ht="25.05" customHeight="1">
      <c r="A7" s="20" t="s">
        <v>5</v>
      </c>
      <c r="B7" s="20" t="s">
        <v>236</v>
      </c>
      <c r="C7" s="80" t="str">
        <f>IFERROR(VLOOKUP(B7,#REF!,5,FALSE),"")</f>
        <v/>
      </c>
      <c r="D7" s="98">
        <v>987654321</v>
      </c>
      <c r="E7" s="33">
        <v>813989000</v>
      </c>
      <c r="F7" s="20" t="s">
        <v>238</v>
      </c>
      <c r="G7" s="32" t="s">
        <v>100</v>
      </c>
      <c r="H7" s="32">
        <v>116209</v>
      </c>
      <c r="I7" s="21">
        <v>45891</v>
      </c>
      <c r="J7" s="21">
        <v>45911</v>
      </c>
      <c r="K7" s="21" t="s">
        <v>101</v>
      </c>
      <c r="L7" s="64">
        <v>783404</v>
      </c>
      <c r="M7" s="64">
        <v>522269</v>
      </c>
      <c r="N7" s="35" t="s">
        <v>153</v>
      </c>
      <c r="P7" s="22"/>
      <c r="Q7" s="22"/>
      <c r="R7" s="77"/>
      <c r="T7" s="38">
        <f>MONTH(Pers.Juridica!$J7)</f>
        <v>9</v>
      </c>
      <c r="U7" s="38">
        <f>YEAR(Pers.Juridica!$J7)</f>
        <v>2025</v>
      </c>
      <c r="V7" s="9"/>
      <c r="W7" s="9"/>
      <c r="X7" s="9"/>
      <c r="Y7" s="9"/>
    </row>
    <row r="8" spans="1:25" ht="25.05" customHeight="1">
      <c r="A8" s="20" t="s">
        <v>5</v>
      </c>
      <c r="B8" s="20"/>
      <c r="C8" s="80"/>
      <c r="D8" s="20"/>
      <c r="E8" s="33"/>
      <c r="F8" s="20"/>
      <c r="G8" s="32"/>
      <c r="H8" s="32" t="s">
        <v>84</v>
      </c>
      <c r="I8" s="21"/>
      <c r="J8" s="21"/>
      <c r="K8" s="21"/>
      <c r="L8" s="64"/>
      <c r="M8" s="64"/>
      <c r="N8" s="35"/>
      <c r="P8" s="22"/>
      <c r="Q8" s="22"/>
      <c r="R8" s="77"/>
      <c r="T8" s="38">
        <f>MONTH(Pers.Juridica!$J8)</f>
        <v>1</v>
      </c>
      <c r="U8" s="38">
        <f>YEAR(Pers.Juridica!$J8)</f>
        <v>1900</v>
      </c>
      <c r="V8" s="9"/>
      <c r="W8" s="9"/>
      <c r="X8" s="9"/>
      <c r="Y8" s="9"/>
    </row>
    <row r="9" spans="1:25" ht="25.05" customHeight="1">
      <c r="A9" s="26" t="s">
        <v>9</v>
      </c>
      <c r="B9" s="26"/>
      <c r="C9" s="26"/>
      <c r="D9" s="26"/>
      <c r="E9" s="37"/>
      <c r="F9" s="37"/>
      <c r="G9" s="26"/>
      <c r="H9" s="26"/>
      <c r="I9" s="31"/>
      <c r="J9" s="31"/>
      <c r="K9" s="31"/>
      <c r="L9" s="27">
        <f>SUBTOTAL(109,Pers.Juridica!$L$2:$L$8)</f>
        <v>24091179</v>
      </c>
      <c r="M9" s="27">
        <f>SUBTOTAL(109,Pers.Juridica!$M$2:$M$8)</f>
        <v>23318651</v>
      </c>
      <c r="N9" s="29"/>
      <c r="P9" s="78"/>
      <c r="Q9" s="78"/>
      <c r="R9" s="79"/>
      <c r="T9" s="38">
        <f>MONTH(Pers.Juridica!$J9)</f>
        <v>1</v>
      </c>
      <c r="U9" s="38">
        <f>YEAR(Pers.Juridica!$J9)</f>
        <v>1900</v>
      </c>
      <c r="V9" s="9"/>
      <c r="W9" s="9"/>
      <c r="X9" s="9"/>
      <c r="Y9" s="9"/>
    </row>
    <row r="10" spans="1:25" ht="25.05" customHeight="1">
      <c r="V10" s="9"/>
      <c r="W10" s="9"/>
      <c r="X10" s="9"/>
      <c r="Y10" s="9"/>
    </row>
    <row r="11" spans="1:25" ht="25.05" customHeight="1">
      <c r="M11" s="17"/>
      <c r="N11" s="19"/>
      <c r="V11" s="9"/>
      <c r="W11" s="9"/>
      <c r="X11" s="9"/>
      <c r="Y11" s="9"/>
    </row>
  </sheetData>
  <conditionalFormatting sqref="H3:H7">
    <cfRule type="duplicateValues" dxfId="9" priority="2"/>
  </conditionalFormatting>
  <dataValidations xWindow="177" yWindow="273" count="3">
    <dataValidation type="list" showInputMessage="1" showErrorMessage="1" errorTitle="Error" error="Debe seleccionar una cuenta válida" promptTitle="Cuentas de gastos" prompt="Seleccione la cuenta que se quiere rendir" sqref="A2:A8" xr:uid="{00000000-0002-0000-0700-000000000000}">
      <formula1>CUENTAS</formula1>
    </dataValidation>
    <dataValidation type="list" allowBlank="1" showInputMessage="1" showErrorMessage="1" sqref="K2 K8" xr:uid="{00000000-0002-0000-0700-000001000000}">
      <formula1>FORMA_DE_PAGO</formula1>
    </dataValidation>
    <dataValidation type="list" allowBlank="1" showInputMessage="1" showErrorMessage="1" sqref="P2:Q9" xr:uid="{B723ED65-1CBA-4B86-90B5-6901CCAFCFFA}">
      <formula1>"OK, PENDIENTE, CON OBSERVACIONES"</formula1>
    </dataValidation>
  </dataValidations>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ellIs" priority="4" operator="equal" id="{2B431714-CC5F-4B82-AF39-FD0E676B2343}">
            <xm:f>#REF!</xm:f>
            <x14:dxf>
              <font>
                <color rgb="FF006100"/>
              </font>
              <fill>
                <patternFill>
                  <bgColor rgb="FFC6EFCE"/>
                </patternFill>
              </fill>
            </x14:dxf>
          </x14:cfRule>
          <xm:sqref>D2 D8</xm:sqref>
        </x14:conditionalFormatting>
        <x14:conditionalFormatting xmlns:xm="http://schemas.microsoft.com/office/excel/2006/main">
          <x14:cfRule type="cellIs" priority="1" operator="equal" id="{5ADE0A9B-1749-42DA-B8A3-09A7501829FC}">
            <xm:f>#REF!</xm:f>
            <x14:dxf>
              <font>
                <color rgb="FF006100"/>
              </font>
              <fill>
                <patternFill>
                  <bgColor rgb="FFC6EFCE"/>
                </patternFill>
              </fill>
            </x14:dxf>
          </x14:cfRule>
          <xm:sqref>D3:D7</xm:sqref>
        </x14:conditionalFormatting>
      </x14:conditionalFormattings>
    </ext>
    <ext xmlns:x14="http://schemas.microsoft.com/office/spreadsheetml/2009/9/main" uri="{CCE6A557-97BC-4b89-ADB6-D9C93CAAB3DF}">
      <x14:dataValidations xmlns:xm="http://schemas.microsoft.com/office/excel/2006/main" xWindow="177" yWindow="273" count="4">
        <x14:dataValidation type="list" allowBlank="1" showInputMessage="1" showErrorMessage="1" xr:uid="{00000000-0002-0000-0700-000003000000}">
          <x14:formula1>
            <xm:f>#REF!</xm:f>
          </x14:formula1>
          <xm:sqref>B2</xm:sqref>
        </x14:dataValidation>
        <x14:dataValidation type="list" allowBlank="1" showInputMessage="1" showErrorMessage="1" xr:uid="{D4F1C6D3-8561-4399-8CF2-CE0116C4D062}">
          <x14:formula1>
            <xm:f>#REF!</xm:f>
          </x14:formula1>
          <xm:sqref>G2:G8</xm:sqref>
        </x14:dataValidation>
        <x14:dataValidation type="list" allowBlank="1" showInputMessage="1" showErrorMessage="1" xr:uid="{A6002076-3463-4136-80FC-208D2FB4DB23}">
          <x14:formula1>
            <xm:f>#REF!</xm:f>
          </x14:formula1>
          <xm:sqref>B3:B8</xm:sqref>
        </x14:dataValidation>
        <x14:dataValidation type="list" allowBlank="1" showInputMessage="1" showErrorMessage="1" xr:uid="{26C54F1E-B2E0-40F2-B5BD-CFA7C163FC76}">
          <x14:formula1>
            <xm:f>#REF!</xm:f>
          </x14:formula1>
          <xm:sqref>K3:K7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6"/>
  <sheetViews>
    <sheetView showGridLines="0" zoomScale="80" zoomScaleNormal="80" workbookViewId="0">
      <pane ySplit="1" topLeftCell="A2" activePane="bottomLeft" state="frozen"/>
      <selection activeCell="B21" sqref="B21"/>
      <selection pane="bottomLeft" activeCell="B3" sqref="B3"/>
    </sheetView>
  </sheetViews>
  <sheetFormatPr defaultColWidth="11.46484375" defaultRowHeight="25.05" customHeight="1"/>
  <cols>
    <col min="1" max="1" width="19.796875" style="1" customWidth="1"/>
    <col min="2" max="2" width="24" style="1" customWidth="1"/>
    <col min="3" max="3" width="17.796875" style="1" customWidth="1"/>
    <col min="4" max="4" width="18.265625" style="1" customWidth="1"/>
    <col min="5" max="5" width="12.796875" style="2" customWidth="1"/>
    <col min="6" max="6" width="19.265625" style="2" customWidth="1"/>
    <col min="7" max="7" width="13.796875" style="1" customWidth="1"/>
    <col min="8" max="8" width="13.19921875" style="1" customWidth="1"/>
    <col min="9" max="11" width="16.19921875" style="3" customWidth="1"/>
    <col min="12" max="12" width="21.53125" style="4" customWidth="1"/>
    <col min="13" max="13" width="17.53125" style="4" customWidth="1"/>
    <col min="14" max="14" width="35.19921875" style="1" customWidth="1"/>
    <col min="15" max="15" width="11.46484375" style="1"/>
    <col min="16" max="16" width="11" style="9" customWidth="1"/>
    <col min="17" max="17" width="11.796875" style="9" customWidth="1"/>
    <col min="18" max="19" width="12.265625" style="9" customWidth="1"/>
    <col min="20" max="20" width="7.19921875" style="44" customWidth="1"/>
    <col min="21" max="21" width="6.265625" style="44" customWidth="1"/>
    <col min="22" max="16384" width="11.46484375" style="1"/>
  </cols>
  <sheetData>
    <row r="1" spans="1:21" ht="35.25" customHeight="1">
      <c r="A1" s="65" t="s">
        <v>8</v>
      </c>
      <c r="B1" s="65" t="s">
        <v>10</v>
      </c>
      <c r="C1" s="65" t="s">
        <v>7</v>
      </c>
      <c r="D1" s="65" t="s">
        <v>12</v>
      </c>
      <c r="E1" s="65" t="s">
        <v>28</v>
      </c>
      <c r="F1" s="65" t="s">
        <v>29</v>
      </c>
      <c r="G1" s="65" t="s">
        <v>15</v>
      </c>
      <c r="H1" s="65" t="s">
        <v>16</v>
      </c>
      <c r="I1" s="65" t="s">
        <v>30</v>
      </c>
      <c r="J1" s="65" t="s">
        <v>31</v>
      </c>
      <c r="K1" s="65" t="s">
        <v>19</v>
      </c>
      <c r="L1" s="65" t="s">
        <v>32</v>
      </c>
      <c r="M1" s="65" t="s">
        <v>23</v>
      </c>
      <c r="N1" s="65" t="s">
        <v>33</v>
      </c>
      <c r="P1" s="65" t="s">
        <v>50</v>
      </c>
      <c r="Q1" s="65" t="s">
        <v>49</v>
      </c>
      <c r="R1" s="65" t="s">
        <v>57</v>
      </c>
      <c r="T1" s="43" t="s">
        <v>25</v>
      </c>
      <c r="U1" s="43" t="s">
        <v>26</v>
      </c>
    </row>
    <row r="2" spans="1:21" ht="28.5" customHeight="1">
      <c r="A2" s="20" t="s">
        <v>2</v>
      </c>
      <c r="B2" s="20"/>
      <c r="C2" s="80" t="str">
        <f>IFERROR(VLOOKUP(B2,#REF!,5,FALSE),"")</f>
        <v/>
      </c>
      <c r="D2" s="20"/>
      <c r="E2" s="20"/>
      <c r="F2" s="20"/>
      <c r="G2" s="20"/>
      <c r="H2" s="25"/>
      <c r="I2" s="21"/>
      <c r="J2" s="21"/>
      <c r="K2" s="21"/>
      <c r="L2" s="61"/>
      <c r="M2" s="30"/>
      <c r="N2" s="24"/>
      <c r="P2" s="22"/>
      <c r="Q2" s="22"/>
      <c r="R2" s="77"/>
      <c r="T2" s="44">
        <f>MONTH('Prop. Intelectual'!$J2)</f>
        <v>1</v>
      </c>
      <c r="U2" s="44">
        <f>YEAR('Prop. Intelectual'!$J2)</f>
        <v>1900</v>
      </c>
    </row>
    <row r="3" spans="1:21" ht="28.5" customHeight="1">
      <c r="A3" s="20" t="s">
        <v>2</v>
      </c>
      <c r="B3" s="20"/>
      <c r="C3" s="80" t="str">
        <f>IFERROR(VLOOKUP(B3,#REF!,5,FALSE),"")</f>
        <v/>
      </c>
      <c r="D3" s="20"/>
      <c r="E3" s="20"/>
      <c r="F3" s="20"/>
      <c r="G3" s="20"/>
      <c r="H3" s="25"/>
      <c r="I3" s="21"/>
      <c r="J3" s="21"/>
      <c r="K3" s="21"/>
      <c r="L3" s="61"/>
      <c r="M3" s="30"/>
      <c r="N3" s="24"/>
      <c r="P3" s="22"/>
      <c r="Q3" s="22"/>
      <c r="R3" s="77"/>
      <c r="T3" s="44">
        <f>MONTH('Prop. Intelectual'!$J3)</f>
        <v>1</v>
      </c>
      <c r="U3" s="44">
        <f>YEAR('Prop. Intelectual'!$J3)</f>
        <v>1900</v>
      </c>
    </row>
    <row r="4" spans="1:21" ht="28.5" customHeight="1">
      <c r="A4" s="20" t="s">
        <v>2</v>
      </c>
      <c r="B4" s="20"/>
      <c r="C4" s="80" t="str">
        <f>IFERROR(VLOOKUP(B4,#REF!,5,FALSE),"")</f>
        <v/>
      </c>
      <c r="D4" s="20"/>
      <c r="E4" s="20"/>
      <c r="F4" s="20"/>
      <c r="G4" s="20"/>
      <c r="H4" s="25"/>
      <c r="I4" s="21"/>
      <c r="J4" s="21"/>
      <c r="K4" s="21"/>
      <c r="L4" s="61"/>
      <c r="M4" s="30"/>
      <c r="N4" s="24"/>
      <c r="P4" s="22"/>
      <c r="Q4" s="22"/>
      <c r="R4" s="77"/>
      <c r="T4" s="44">
        <f>MONTH('Prop. Intelectual'!$J4)</f>
        <v>1</v>
      </c>
      <c r="U4" s="44">
        <f>YEAR('Prop. Intelectual'!$J4)</f>
        <v>1900</v>
      </c>
    </row>
    <row r="5" spans="1:21" ht="28.5" customHeight="1">
      <c r="A5" s="20" t="s">
        <v>2</v>
      </c>
      <c r="B5" s="20"/>
      <c r="C5" s="80" t="str">
        <f>IFERROR(VLOOKUP(B5,#REF!,5,FALSE),"")</f>
        <v/>
      </c>
      <c r="D5" s="20"/>
      <c r="E5" s="20"/>
      <c r="F5" s="20"/>
      <c r="G5" s="20"/>
      <c r="H5" s="25"/>
      <c r="I5" s="21"/>
      <c r="J5" s="21"/>
      <c r="K5" s="21"/>
      <c r="L5" s="61"/>
      <c r="M5" s="30"/>
      <c r="N5" s="24"/>
      <c r="P5" s="22"/>
      <c r="Q5" s="22"/>
      <c r="R5" s="77"/>
      <c r="T5" s="44">
        <f>MONTH('Prop. Intelectual'!$J5)</f>
        <v>1</v>
      </c>
      <c r="U5" s="44">
        <f>YEAR('Prop. Intelectual'!$J5)</f>
        <v>1900</v>
      </c>
    </row>
    <row r="6" spans="1:21" ht="28.5" customHeight="1">
      <c r="A6" s="20" t="s">
        <v>2</v>
      </c>
      <c r="B6" s="20"/>
      <c r="C6" s="80" t="str">
        <f>IFERROR(VLOOKUP(B6,#REF!,5,FALSE),"")</f>
        <v/>
      </c>
      <c r="D6" s="20"/>
      <c r="E6" s="20"/>
      <c r="F6" s="20"/>
      <c r="G6" s="20"/>
      <c r="H6" s="25"/>
      <c r="I6" s="21"/>
      <c r="J6" s="21"/>
      <c r="K6" s="21"/>
      <c r="L6" s="61"/>
      <c r="M6" s="30"/>
      <c r="N6" s="24"/>
      <c r="P6" s="22"/>
      <c r="Q6" s="22"/>
      <c r="R6" s="77"/>
      <c r="T6" s="44">
        <f>MONTH('Prop. Intelectual'!$J6)</f>
        <v>1</v>
      </c>
      <c r="U6" s="44">
        <f>YEAR('Prop. Intelectual'!$J6)</f>
        <v>1900</v>
      </c>
    </row>
    <row r="7" spans="1:21" ht="28.5" customHeight="1">
      <c r="A7" s="20" t="s">
        <v>2</v>
      </c>
      <c r="B7" s="20"/>
      <c r="C7" s="80" t="str">
        <f>IFERROR(VLOOKUP(B7,#REF!,5,FALSE),"")</f>
        <v/>
      </c>
      <c r="D7" s="20"/>
      <c r="E7" s="20"/>
      <c r="F7" s="20"/>
      <c r="G7" s="20"/>
      <c r="H7" s="25"/>
      <c r="I7" s="21"/>
      <c r="J7" s="21"/>
      <c r="K7" s="21"/>
      <c r="L7" s="61"/>
      <c r="M7" s="30"/>
      <c r="N7" s="24"/>
      <c r="P7" s="22"/>
      <c r="Q7" s="22"/>
      <c r="R7" s="77"/>
      <c r="T7" s="44">
        <f>MONTH('Prop. Intelectual'!$J7)</f>
        <v>1</v>
      </c>
      <c r="U7" s="44">
        <f>YEAR('Prop. Intelectual'!$J7)</f>
        <v>1900</v>
      </c>
    </row>
    <row r="8" spans="1:21" ht="28.5" customHeight="1">
      <c r="A8" s="20" t="s">
        <v>2</v>
      </c>
      <c r="B8" s="20"/>
      <c r="C8" s="80" t="str">
        <f>IFERROR(VLOOKUP(B8,#REF!,5,FALSE),"")</f>
        <v/>
      </c>
      <c r="D8" s="20"/>
      <c r="E8" s="20"/>
      <c r="F8" s="20"/>
      <c r="G8" s="20"/>
      <c r="H8" s="25"/>
      <c r="I8" s="21"/>
      <c r="J8" s="21"/>
      <c r="K8" s="21"/>
      <c r="L8" s="61"/>
      <c r="M8" s="30"/>
      <c r="N8" s="24"/>
      <c r="P8" s="22"/>
      <c r="Q8" s="22"/>
      <c r="R8" s="77"/>
      <c r="T8" s="44">
        <f>MONTH('Prop. Intelectual'!$J8)</f>
        <v>1</v>
      </c>
      <c r="U8" s="44">
        <f>YEAR('Prop. Intelectual'!$J8)</f>
        <v>1900</v>
      </c>
    </row>
    <row r="9" spans="1:21" ht="28.5" customHeight="1">
      <c r="A9" s="20" t="s">
        <v>2</v>
      </c>
      <c r="B9" s="20"/>
      <c r="C9" s="80" t="str">
        <f>IFERROR(VLOOKUP(B9,#REF!,5,FALSE),"")</f>
        <v/>
      </c>
      <c r="D9" s="20"/>
      <c r="E9" s="25"/>
      <c r="F9" s="25"/>
      <c r="G9" s="20"/>
      <c r="H9" s="20"/>
      <c r="I9" s="21"/>
      <c r="J9" s="21"/>
      <c r="K9" s="21"/>
      <c r="L9" s="34"/>
      <c r="M9" s="34"/>
      <c r="N9" s="24"/>
      <c r="P9" s="22"/>
      <c r="Q9" s="22"/>
      <c r="R9" s="77"/>
      <c r="T9" s="44">
        <f>MONTH('Prop. Intelectual'!$J9)</f>
        <v>1</v>
      </c>
      <c r="U9" s="44">
        <f>YEAR('Prop. Intelectual'!$J9)</f>
        <v>1900</v>
      </c>
    </row>
    <row r="10" spans="1:21" ht="28.5" customHeight="1">
      <c r="A10" s="26" t="s">
        <v>9</v>
      </c>
      <c r="B10" s="26"/>
      <c r="C10" s="26"/>
      <c r="D10" s="26"/>
      <c r="E10" s="37"/>
      <c r="F10" s="37"/>
      <c r="G10" s="26"/>
      <c r="H10" s="26"/>
      <c r="I10" s="31"/>
      <c r="J10" s="31"/>
      <c r="K10" s="31"/>
      <c r="L10" s="27">
        <f>SUBTOTAL(109,'Prop. Intelectual'!$L$2:$L$9)</f>
        <v>0</v>
      </c>
      <c r="M10" s="27">
        <f>SUBTOTAL(109,'Prop. Intelectual'!$M$2:$M$9)</f>
        <v>0</v>
      </c>
      <c r="N10" s="29"/>
      <c r="P10" s="78"/>
      <c r="Q10" s="78"/>
      <c r="R10" s="79"/>
    </row>
    <row r="11" spans="1:21" ht="25.05" customHeight="1">
      <c r="P11" s="1"/>
      <c r="Q11" s="1"/>
      <c r="R11" s="1"/>
    </row>
    <row r="12" spans="1:21" ht="25.05" customHeight="1">
      <c r="F12" s="1"/>
      <c r="I12" s="1"/>
      <c r="J12" s="1"/>
      <c r="K12" s="1"/>
      <c r="L12" s="1"/>
      <c r="M12" s="17"/>
      <c r="P12" s="1"/>
      <c r="Q12" s="1"/>
      <c r="R12" s="1"/>
    </row>
    <row r="13" spans="1:21" s="9" customFormat="1" ht="41.2" customHeight="1">
      <c r="B13" s="86" t="s">
        <v>62</v>
      </c>
      <c r="C13" s="86"/>
      <c r="D13" s="86"/>
      <c r="E13" s="86"/>
      <c r="F13" s="86"/>
      <c r="G13" s="86"/>
      <c r="H13" s="86"/>
      <c r="I13" s="86"/>
      <c r="J13" s="86"/>
      <c r="K13" s="86"/>
      <c r="L13" s="86"/>
      <c r="M13" s="86"/>
      <c r="N13" s="86"/>
      <c r="T13" s="39"/>
      <c r="U13" s="39"/>
    </row>
    <row r="14" spans="1:21" s="9" customFormat="1" ht="25.05" customHeight="1">
      <c r="L14" s="15"/>
      <c r="O14" s="16"/>
      <c r="Q14" s="1"/>
      <c r="T14" s="39"/>
      <c r="U14" s="39"/>
    </row>
    <row r="15" spans="1:21" s="9" customFormat="1" ht="25.05" customHeight="1">
      <c r="D15" s="91" t="s">
        <v>76</v>
      </c>
      <c r="E15" s="91"/>
      <c r="F15" s="92" t="s">
        <v>77</v>
      </c>
      <c r="G15" s="92"/>
      <c r="H15" s="92"/>
      <c r="I15" s="92"/>
      <c r="J15" s="92"/>
      <c r="K15" s="92"/>
      <c r="L15" s="92"/>
      <c r="M15" s="92"/>
      <c r="N15" s="92"/>
      <c r="O15" s="16"/>
      <c r="Q15" s="1"/>
      <c r="T15" s="39"/>
      <c r="U15" s="39"/>
    </row>
    <row r="16" spans="1:21" s="9" customFormat="1" ht="25.05" customHeight="1">
      <c r="L16" s="15"/>
      <c r="O16" s="16"/>
      <c r="Q16" s="1"/>
      <c r="T16" s="39"/>
      <c r="U16" s="39"/>
    </row>
    <row r="17" spans="4:21" s="9" customFormat="1" ht="25.05" customHeight="1">
      <c r="D17" s="93" t="s">
        <v>78</v>
      </c>
      <c r="E17" s="93"/>
      <c r="F17" s="94" t="s">
        <v>79</v>
      </c>
      <c r="G17" s="94"/>
      <c r="H17" s="94"/>
      <c r="I17" s="94"/>
      <c r="J17" s="94"/>
      <c r="K17" s="94"/>
      <c r="L17" s="94"/>
      <c r="M17" s="94"/>
      <c r="N17" s="94"/>
      <c r="O17" s="16"/>
      <c r="Q17" s="1"/>
      <c r="T17" s="39"/>
      <c r="U17" s="39"/>
    </row>
    <row r="18" spans="4:21" s="9" customFormat="1" ht="25.05" customHeight="1">
      <c r="O18" s="16"/>
      <c r="Q18" s="1"/>
      <c r="T18" s="39"/>
      <c r="U18" s="39"/>
    </row>
    <row r="19" spans="4:21" s="9" customFormat="1" ht="25.05" customHeight="1">
      <c r="D19" s="89" t="s">
        <v>72</v>
      </c>
      <c r="E19" s="89"/>
      <c r="F19" s="90" t="s">
        <v>71</v>
      </c>
      <c r="G19" s="90"/>
      <c r="H19" s="90"/>
      <c r="I19" s="90"/>
      <c r="J19" s="90"/>
      <c r="K19" s="90"/>
      <c r="L19" s="90"/>
      <c r="M19" s="90"/>
      <c r="N19" s="90"/>
      <c r="O19" s="16"/>
      <c r="Q19" s="1"/>
      <c r="T19" s="39"/>
      <c r="U19" s="39"/>
    </row>
    <row r="20" spans="4:21" s="9" customFormat="1" ht="25.05" customHeight="1">
      <c r="D20" s="81"/>
      <c r="E20" s="81"/>
      <c r="H20" s="88"/>
      <c r="I20" s="88"/>
      <c r="J20" s="88"/>
      <c r="K20" s="88"/>
      <c r="L20" s="88"/>
      <c r="M20" s="88"/>
      <c r="T20" s="39"/>
      <c r="U20" s="39"/>
    </row>
    <row r="21" spans="4:21" s="9" customFormat="1" ht="25.05" customHeight="1">
      <c r="D21" s="86" t="s">
        <v>59</v>
      </c>
      <c r="E21" s="86"/>
      <c r="F21" s="87" t="s">
        <v>61</v>
      </c>
      <c r="G21" s="87"/>
      <c r="H21" s="87"/>
      <c r="I21" s="87"/>
      <c r="J21" s="87"/>
      <c r="K21" s="87"/>
      <c r="L21" s="87"/>
      <c r="M21" s="87"/>
      <c r="N21" s="87"/>
      <c r="T21" s="39"/>
      <c r="U21" s="39"/>
    </row>
    <row r="22" spans="4:21" s="9" customFormat="1" ht="25.05" customHeight="1">
      <c r="D22" s="81" t="s">
        <v>27</v>
      </c>
      <c r="E22" s="81"/>
      <c r="I22" s="18"/>
      <c r="J22" s="18"/>
      <c r="K22" s="18"/>
      <c r="L22" s="15"/>
      <c r="M22" s="15"/>
      <c r="T22" s="39"/>
      <c r="U22" s="39"/>
    </row>
    <row r="23" spans="4:21" s="9" customFormat="1" ht="50.2" customHeight="1">
      <c r="D23" s="86" t="s">
        <v>60</v>
      </c>
      <c r="E23" s="86"/>
      <c r="F23" s="87" t="s">
        <v>63</v>
      </c>
      <c r="G23" s="87"/>
      <c r="H23" s="87"/>
      <c r="I23" s="87"/>
      <c r="J23" s="87"/>
      <c r="K23" s="87"/>
      <c r="L23" s="87"/>
      <c r="M23" s="87"/>
      <c r="N23" s="87"/>
      <c r="T23" s="39"/>
      <c r="U23" s="39"/>
    </row>
    <row r="25" spans="4:21" ht="25.05" customHeight="1">
      <c r="D25" s="86" t="s">
        <v>58</v>
      </c>
      <c r="E25" s="86"/>
      <c r="F25" s="87" t="s">
        <v>81</v>
      </c>
      <c r="G25" s="87"/>
      <c r="H25" s="87"/>
      <c r="I25" s="87"/>
      <c r="J25" s="87"/>
      <c r="K25" s="87"/>
      <c r="L25" s="87"/>
      <c r="M25" s="87"/>
      <c r="N25" s="87"/>
    </row>
    <row r="26" spans="4:21" ht="73.05" customHeight="1">
      <c r="D26" s="86"/>
      <c r="E26" s="86"/>
      <c r="F26" s="87" t="s">
        <v>82</v>
      </c>
      <c r="G26" s="87"/>
      <c r="H26" s="87"/>
      <c r="I26" s="87"/>
      <c r="J26" s="87"/>
      <c r="K26" s="87"/>
      <c r="L26" s="87"/>
      <c r="M26" s="87"/>
      <c r="N26" s="87"/>
    </row>
  </sheetData>
  <mergeCells count="15">
    <mergeCell ref="D25:E26"/>
    <mergeCell ref="F25:N25"/>
    <mergeCell ref="F26:N26"/>
    <mergeCell ref="B13:N13"/>
    <mergeCell ref="H20:M20"/>
    <mergeCell ref="D21:E21"/>
    <mergeCell ref="F21:N21"/>
    <mergeCell ref="D23:E23"/>
    <mergeCell ref="F23:N23"/>
    <mergeCell ref="D19:E19"/>
    <mergeCell ref="F19:N19"/>
    <mergeCell ref="D15:E15"/>
    <mergeCell ref="F15:N15"/>
    <mergeCell ref="D17:E17"/>
    <mergeCell ref="F17:N17"/>
  </mergeCells>
  <dataValidations count="4">
    <dataValidation type="list" showInputMessage="1" showErrorMessage="1" errorTitle="Error" error="Debe seleccionar una cuenta válida" promptTitle="Cuentas de gastos" prompt="Seleccione la cuenta que se quiere rendir" sqref="A2:A9" xr:uid="{00000000-0002-0000-0800-000000000000}">
      <formula1>CUENTAS</formula1>
    </dataValidation>
    <dataValidation type="list" allowBlank="1" showInputMessage="1" showErrorMessage="1" sqref="G2:G9" xr:uid="{00000000-0002-0000-0800-000001000000}">
      <formula1>TIPO_DE_DOCUMENTOS_GASTOS</formula1>
    </dataValidation>
    <dataValidation type="list" allowBlank="1" showInputMessage="1" showErrorMessage="1" sqref="K2:K9" xr:uid="{00000000-0002-0000-0800-000003000000}">
      <formula1>FORMA_DE_PAGO</formula1>
    </dataValidation>
    <dataValidation type="list" allowBlank="1" showInputMessage="1" showErrorMessage="1" sqref="P2:Q10" xr:uid="{ADC15DC9-33D5-44CB-A3C1-2DFC3681A3C3}">
      <formula1>"OK, PENDIENTE, CON OBSERVACIONES"</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1" operator="equal" id="{88BD8545-6372-44D4-AE14-544EAEA8AA47}">
            <xm:f>#REF!</xm:f>
            <x14:dxf>
              <font>
                <color rgb="FF006100"/>
              </font>
              <fill>
                <patternFill>
                  <bgColor rgb="FFC6EFCE"/>
                </patternFill>
              </fill>
            </x14:dxf>
          </x14:cfRule>
          <xm:sqref>D2:D9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2000000}">
          <x14:formula1>
            <xm:f>#REF!</xm:f>
          </x14:formula1>
          <xm:sqref>B2:B9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U5"/>
  <sheetViews>
    <sheetView showGridLines="0" zoomScale="85" zoomScaleNormal="85" workbookViewId="0">
      <pane ySplit="1" topLeftCell="A2" activePane="bottomLeft" state="frozen"/>
      <selection activeCell="B21" sqref="B21"/>
      <selection pane="bottomLeft" activeCell="D3" sqref="D3"/>
    </sheetView>
  </sheetViews>
  <sheetFormatPr defaultColWidth="11.46484375" defaultRowHeight="25.05" customHeight="1"/>
  <cols>
    <col min="1" max="1" width="19.796875" style="1" customWidth="1"/>
    <col min="2" max="2" width="24" style="1" customWidth="1"/>
    <col min="3" max="3" width="17.796875" style="1" customWidth="1"/>
    <col min="4" max="4" width="18.265625" style="1" bestFit="1" customWidth="1"/>
    <col min="5" max="5" width="12.796875" style="2" bestFit="1" customWidth="1"/>
    <col min="6" max="6" width="19.265625" style="2" customWidth="1"/>
    <col min="7" max="7" width="13.796875" style="1" customWidth="1"/>
    <col min="8" max="8" width="13.19921875" style="1" customWidth="1"/>
    <col min="9" max="11" width="16.19921875" style="3" customWidth="1"/>
    <col min="12" max="12" width="21.53125" style="4" customWidth="1"/>
    <col min="13" max="13" width="17.53125" style="4" customWidth="1"/>
    <col min="14" max="14" width="35.19921875" style="1" customWidth="1"/>
    <col min="15" max="15" width="11.46484375" style="1"/>
    <col min="16" max="16" width="11" style="9" customWidth="1"/>
    <col min="17" max="17" width="11.796875" style="9" customWidth="1"/>
    <col min="18" max="19" width="12.265625" style="9" customWidth="1"/>
    <col min="20" max="20" width="7.19921875" style="44" customWidth="1"/>
    <col min="21" max="21" width="6.265625" style="44" customWidth="1"/>
    <col min="22" max="16384" width="11.46484375" style="1"/>
  </cols>
  <sheetData>
    <row r="1" spans="1:21" ht="35.25" customHeight="1">
      <c r="A1" s="65" t="s">
        <v>8</v>
      </c>
      <c r="B1" s="65" t="s">
        <v>10</v>
      </c>
      <c r="C1" s="65" t="s">
        <v>7</v>
      </c>
      <c r="D1" s="65" t="s">
        <v>12</v>
      </c>
      <c r="E1" s="65" t="s">
        <v>28</v>
      </c>
      <c r="F1" s="65" t="s">
        <v>29</v>
      </c>
      <c r="G1" s="65" t="s">
        <v>15</v>
      </c>
      <c r="H1" s="65" t="s">
        <v>16</v>
      </c>
      <c r="I1" s="65" t="s">
        <v>30</v>
      </c>
      <c r="J1" s="65" t="s">
        <v>31</v>
      </c>
      <c r="K1" s="65" t="s">
        <v>19</v>
      </c>
      <c r="L1" s="65" t="s">
        <v>32</v>
      </c>
      <c r="M1" s="65" t="s">
        <v>23</v>
      </c>
      <c r="N1" s="65" t="s">
        <v>33</v>
      </c>
      <c r="P1" s="65" t="s">
        <v>50</v>
      </c>
      <c r="Q1" s="65" t="s">
        <v>49</v>
      </c>
      <c r="R1" s="65" t="s">
        <v>57</v>
      </c>
      <c r="T1" s="43" t="s">
        <v>25</v>
      </c>
      <c r="U1" s="43" t="s">
        <v>26</v>
      </c>
    </row>
    <row r="2" spans="1:21" ht="28.5" customHeight="1">
      <c r="A2" s="20" t="s">
        <v>3</v>
      </c>
      <c r="B2" s="20"/>
      <c r="C2" s="80" t="str">
        <f>IFERROR(VLOOKUP(B2,#REF!,5,FALSE),"")</f>
        <v/>
      </c>
      <c r="D2" s="20"/>
      <c r="E2" s="20"/>
      <c r="F2" s="20"/>
      <c r="G2" s="20"/>
      <c r="H2" s="25"/>
      <c r="I2" s="21"/>
      <c r="J2" s="21"/>
      <c r="K2" s="21"/>
      <c r="L2" s="61"/>
      <c r="M2" s="30"/>
      <c r="N2" s="24"/>
      <c r="P2" s="22"/>
      <c r="Q2" s="22"/>
      <c r="R2" s="77"/>
      <c r="T2" s="44">
        <f>MONTH(Arriendo!$J2)</f>
        <v>1</v>
      </c>
      <c r="U2" s="44">
        <f>YEAR(Arriendo!$J2)</f>
        <v>1900</v>
      </c>
    </row>
    <row r="3" spans="1:21" ht="28.5" customHeight="1">
      <c r="A3" s="20" t="s">
        <v>3</v>
      </c>
      <c r="B3" s="20" t="s">
        <v>98</v>
      </c>
      <c r="C3" s="80" t="str">
        <f>IFERROR(VLOOKUP(B3,#REF!,5,FALSE),"")</f>
        <v/>
      </c>
      <c r="D3" s="98">
        <v>987654321</v>
      </c>
      <c r="E3" s="20">
        <v>132780966</v>
      </c>
      <c r="F3" s="20" t="s">
        <v>239</v>
      </c>
      <c r="G3" s="20" t="s">
        <v>100</v>
      </c>
      <c r="H3" s="25">
        <v>62</v>
      </c>
      <c r="I3" s="21">
        <v>45686</v>
      </c>
      <c r="J3" s="21">
        <v>45701</v>
      </c>
      <c r="K3" s="21" t="s">
        <v>101</v>
      </c>
      <c r="L3" s="61">
        <v>4050000</v>
      </c>
      <c r="M3" s="30">
        <f>4050000-867600</f>
        <v>3182400</v>
      </c>
      <c r="N3" s="24" t="s">
        <v>131</v>
      </c>
      <c r="P3" s="22"/>
      <c r="Q3" s="22"/>
      <c r="R3" s="77"/>
      <c r="T3" s="44">
        <f>MONTH(Arriendo!$J3)</f>
        <v>2</v>
      </c>
      <c r="U3" s="44">
        <f>YEAR(Arriendo!$J3)</f>
        <v>2025</v>
      </c>
    </row>
    <row r="4" spans="1:21" ht="28.5" customHeight="1">
      <c r="A4" s="20" t="s">
        <v>3</v>
      </c>
      <c r="B4" s="20"/>
      <c r="C4" s="80" t="str">
        <f>IFERROR(VLOOKUP(B4,#REF!,5,FALSE),"")</f>
        <v/>
      </c>
      <c r="D4" s="20"/>
      <c r="E4" s="25"/>
      <c r="F4" s="25"/>
      <c r="G4" s="20"/>
      <c r="H4" s="20"/>
      <c r="I4" s="21"/>
      <c r="J4" s="21"/>
      <c r="K4" s="21"/>
      <c r="L4" s="34"/>
      <c r="M4" s="34"/>
      <c r="N4" s="24"/>
      <c r="P4" s="22"/>
      <c r="Q4" s="22"/>
      <c r="R4" s="77"/>
      <c r="T4" s="44">
        <f>MONTH(Arriendo!$J4)</f>
        <v>1</v>
      </c>
      <c r="U4" s="44">
        <f>YEAR(Arriendo!$J4)</f>
        <v>1900</v>
      </c>
    </row>
    <row r="5" spans="1:21" ht="28.5" customHeight="1">
      <c r="A5" s="26" t="s">
        <v>9</v>
      </c>
      <c r="B5" s="26"/>
      <c r="C5" s="26"/>
      <c r="D5" s="26"/>
      <c r="E5" s="37"/>
      <c r="F5" s="37"/>
      <c r="G5" s="26"/>
      <c r="H5" s="26"/>
      <c r="I5" s="31"/>
      <c r="J5" s="31"/>
      <c r="K5" s="31"/>
      <c r="L5" s="27">
        <f>SUBTOTAL(109,Arriendo!$L$2:$L$4)</f>
        <v>4050000</v>
      </c>
      <c r="M5" s="27">
        <f>SUBTOTAL(109,Arriendo!$M$2:$M$4)</f>
        <v>3182400</v>
      </c>
      <c r="N5" s="29"/>
      <c r="P5" s="78"/>
      <c r="Q5" s="78"/>
      <c r="R5" s="79"/>
    </row>
  </sheetData>
  <dataValidations count="4">
    <dataValidation type="list" allowBlank="1" showInputMessage="1" showErrorMessage="1" sqref="K2 K4" xr:uid="{00000000-0002-0000-0900-000000000000}">
      <formula1>FORMA_DE_PAGO</formula1>
    </dataValidation>
    <dataValidation type="list" allowBlank="1" showInputMessage="1" showErrorMessage="1" sqref="G2 G4" xr:uid="{00000000-0002-0000-0900-000002000000}">
      <formula1>TIPO_DE_DOCUMENTOS_GASTOS</formula1>
    </dataValidation>
    <dataValidation type="list" showInputMessage="1" showErrorMessage="1" errorTitle="Error" error="Debe seleccionar una cuenta válida" promptTitle="Cuentas de gastos" prompt="Seleccione la cuenta que se quiere rendir" sqref="A2:A4" xr:uid="{00000000-0002-0000-0900-000003000000}">
      <formula1>CUENTAS</formula1>
    </dataValidation>
    <dataValidation type="list" allowBlank="1" showInputMessage="1" showErrorMessage="1" sqref="P2:Q5" xr:uid="{423C96E7-9D9C-4824-9B30-07B8F397E168}">
      <formula1>"OK, PENDIENTE, CON OBSERVACIONES"</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2" operator="equal" id="{EF019521-99F5-453D-93E9-9E15BA8D66E9}">
            <xm:f>#REF!</xm:f>
            <x14:dxf>
              <font>
                <color rgb="FF006100"/>
              </font>
              <fill>
                <patternFill>
                  <bgColor rgb="FFC6EFCE"/>
                </patternFill>
              </fill>
            </x14:dxf>
          </x14:cfRule>
          <xm:sqref>D2 D4</xm:sqref>
        </x14:conditionalFormatting>
        <x14:conditionalFormatting xmlns:xm="http://schemas.microsoft.com/office/excel/2006/main">
          <x14:cfRule type="cellIs" priority="1" operator="equal" id="{348AEA8C-9C46-4933-BACB-BD73C35790BB}">
            <xm:f>#REF!</xm:f>
            <x14:dxf>
              <font>
                <color rgb="FF006100"/>
              </font>
              <fill>
                <patternFill>
                  <bgColor rgb="FFC6EFCE"/>
                </patternFill>
              </fill>
            </x14:dxf>
          </x14:cfRule>
          <xm:sqref>D3</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900-000001000000}">
          <x14:formula1>
            <xm:f>#REF!</xm:f>
          </x14:formula1>
          <xm:sqref>B2 B4</xm:sqref>
        </x14:dataValidation>
        <x14:dataValidation type="list" allowBlank="1" showInputMessage="1" showErrorMessage="1" xr:uid="{8F423A7C-DCC8-458C-B2DF-EE82FE47F663}">
          <x14:formula1>
            <xm:f>#REF!</xm:f>
          </x14:formula1>
          <xm:sqref>G3</xm:sqref>
        </x14:dataValidation>
        <x14:dataValidation type="list" allowBlank="1" showInputMessage="1" showErrorMessage="1" xr:uid="{204C1583-D0C8-4E85-90DE-89855F29D8F1}">
          <x14:formula1>
            <xm:f>#REF!</xm:f>
          </x14:formula1>
          <xm:sqref>B3</xm:sqref>
        </x14:dataValidation>
        <x14:dataValidation type="list" allowBlank="1" showInputMessage="1" showErrorMessage="1" xr:uid="{AE102EB8-2293-4F51-9952-567CEDA14897}">
          <x14:formula1>
            <xm:f>#REF!</xm:f>
          </x14:formula1>
          <xm:sqref>K3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X10"/>
  <sheetViews>
    <sheetView showGridLines="0" topLeftCell="F1" zoomScale="85" zoomScaleNormal="85" workbookViewId="0">
      <pane ySplit="1" topLeftCell="A3" activePane="bottomLeft" state="frozen"/>
      <selection pane="bottomLeft" activeCell="L14" sqref="L14"/>
    </sheetView>
  </sheetViews>
  <sheetFormatPr defaultColWidth="11.46484375" defaultRowHeight="25.05" customHeight="1"/>
  <cols>
    <col min="1" max="1" width="17.19921875" style="6" bestFit="1" customWidth="1"/>
    <col min="2" max="2" width="29.73046875" style="6" customWidth="1"/>
    <col min="3" max="3" width="13" style="6" customWidth="1"/>
    <col min="4" max="4" width="17.19921875" style="6" customWidth="1"/>
    <col min="5" max="5" width="15.53125" style="6" customWidth="1"/>
    <col min="6" max="6" width="25.53125" style="6" customWidth="1"/>
    <col min="7" max="7" width="15.265625" style="6" customWidth="1"/>
    <col min="8" max="8" width="15.46484375" style="6" customWidth="1"/>
    <col min="9" max="10" width="16.73046875" style="7" customWidth="1"/>
    <col min="11" max="11" width="15.796875" style="7" customWidth="1"/>
    <col min="12" max="12" width="17.265625" style="8" customWidth="1"/>
    <col min="13" max="13" width="17.46484375" style="8" customWidth="1"/>
    <col min="14" max="14" width="32.19921875" style="6" customWidth="1"/>
    <col min="15" max="15" width="11.46484375" style="6"/>
    <col min="16" max="16" width="11" style="9" customWidth="1"/>
    <col min="17" max="17" width="11.796875" style="9" customWidth="1"/>
    <col min="18" max="19" width="12.265625" style="9" customWidth="1"/>
    <col min="20" max="20" width="5.265625" style="45" bestFit="1" customWidth="1"/>
    <col min="21" max="21" width="5.53125" style="45" bestFit="1" customWidth="1"/>
    <col min="22" max="16384" width="11.46484375" style="6"/>
  </cols>
  <sheetData>
    <row r="1" spans="1:24" ht="37.5" customHeight="1">
      <c r="A1" s="65" t="s">
        <v>8</v>
      </c>
      <c r="B1" s="65" t="s">
        <v>10</v>
      </c>
      <c r="C1" s="65" t="s">
        <v>7</v>
      </c>
      <c r="D1" s="65" t="s">
        <v>12</v>
      </c>
      <c r="E1" s="65" t="s">
        <v>28</v>
      </c>
      <c r="F1" s="65" t="s">
        <v>29</v>
      </c>
      <c r="G1" s="65" t="s">
        <v>15</v>
      </c>
      <c r="H1" s="65" t="s">
        <v>16</v>
      </c>
      <c r="I1" s="65" t="s">
        <v>30</v>
      </c>
      <c r="J1" s="65" t="s">
        <v>31</v>
      </c>
      <c r="K1" s="65" t="s">
        <v>19</v>
      </c>
      <c r="L1" s="65" t="s">
        <v>32</v>
      </c>
      <c r="M1" s="65" t="s">
        <v>23</v>
      </c>
      <c r="N1" s="68" t="s">
        <v>33</v>
      </c>
      <c r="P1" s="65" t="s">
        <v>50</v>
      </c>
      <c r="Q1" s="65" t="s">
        <v>49</v>
      </c>
      <c r="R1" s="65" t="s">
        <v>57</v>
      </c>
      <c r="T1" s="46" t="s">
        <v>25</v>
      </c>
      <c r="U1" s="46" t="s">
        <v>26</v>
      </c>
    </row>
    <row r="2" spans="1:24" ht="25.05" hidden="1" customHeight="1">
      <c r="A2" s="20" t="s">
        <v>1</v>
      </c>
      <c r="B2" s="20"/>
      <c r="C2" s="80" t="str">
        <f>IFERROR(VLOOKUP(B2,#REF!,5,FALSE),"")</f>
        <v/>
      </c>
      <c r="D2" s="20"/>
      <c r="E2" s="20"/>
      <c r="F2" s="20"/>
      <c r="G2" s="20"/>
      <c r="H2" s="20"/>
      <c r="I2" s="21"/>
      <c r="J2" s="21"/>
      <c r="K2" s="21"/>
      <c r="L2" s="30"/>
      <c r="M2" s="30"/>
      <c r="N2" s="24"/>
      <c r="P2" s="22"/>
      <c r="Q2" s="22"/>
      <c r="R2" s="77"/>
      <c r="T2" s="45">
        <f>MONTH('Servicios Básicos'!$J2)</f>
        <v>1</v>
      </c>
      <c r="U2" s="45">
        <f>YEAR('Servicios Básicos'!$J2)</f>
        <v>1900</v>
      </c>
    </row>
    <row r="3" spans="1:24" ht="25.05" customHeight="1">
      <c r="A3" s="20" t="s">
        <v>1</v>
      </c>
      <c r="B3" s="20" t="s">
        <v>99</v>
      </c>
      <c r="C3" s="80">
        <v>161001</v>
      </c>
      <c r="D3" s="98">
        <v>987654321</v>
      </c>
      <c r="E3" s="20">
        <v>965687408</v>
      </c>
      <c r="F3" s="20" t="s">
        <v>241</v>
      </c>
      <c r="G3" s="20" t="s">
        <v>100</v>
      </c>
      <c r="H3" s="25">
        <v>11388531</v>
      </c>
      <c r="I3" s="21">
        <v>45762</v>
      </c>
      <c r="J3" s="21">
        <v>45792</v>
      </c>
      <c r="K3" s="21" t="s">
        <v>101</v>
      </c>
      <c r="L3" s="30">
        <v>4212280</v>
      </c>
      <c r="M3" s="30">
        <v>4212280</v>
      </c>
      <c r="N3" s="24" t="s">
        <v>132</v>
      </c>
      <c r="P3" s="22"/>
      <c r="Q3" s="22"/>
      <c r="R3" s="77"/>
      <c r="T3" s="45">
        <f>MONTH('Servicios Básicos'!$J3)</f>
        <v>5</v>
      </c>
      <c r="U3" s="45">
        <f>YEAR('Servicios Básicos'!$J3)</f>
        <v>2025</v>
      </c>
    </row>
    <row r="4" spans="1:24" ht="25.05" customHeight="1">
      <c r="A4" s="20" t="s">
        <v>1</v>
      </c>
      <c r="B4" s="20" t="s">
        <v>99</v>
      </c>
      <c r="C4" s="80">
        <v>161001</v>
      </c>
      <c r="D4" s="98">
        <v>987654321</v>
      </c>
      <c r="E4" s="20">
        <v>965687408</v>
      </c>
      <c r="F4" s="20" t="s">
        <v>241</v>
      </c>
      <c r="G4" s="20" t="s">
        <v>100</v>
      </c>
      <c r="H4" s="25">
        <v>11280187</v>
      </c>
      <c r="I4" s="21">
        <v>45673</v>
      </c>
      <c r="J4" s="21">
        <v>45701</v>
      </c>
      <c r="K4" s="21" t="s">
        <v>101</v>
      </c>
      <c r="L4" s="30">
        <v>2998926</v>
      </c>
      <c r="M4" s="30">
        <v>2998926</v>
      </c>
      <c r="N4" s="24" t="s">
        <v>132</v>
      </c>
      <c r="P4" s="22"/>
      <c r="Q4" s="22"/>
      <c r="R4" s="77"/>
      <c r="T4" s="45">
        <f>MONTH('Servicios Básicos'!$J4)</f>
        <v>2</v>
      </c>
      <c r="U4" s="45">
        <f>YEAR('Servicios Básicos'!$J4)</f>
        <v>2025</v>
      </c>
      <c r="X4"/>
    </row>
    <row r="5" spans="1:24" ht="25.05" customHeight="1">
      <c r="A5" s="20" t="s">
        <v>1</v>
      </c>
      <c r="B5" s="20" t="s">
        <v>99</v>
      </c>
      <c r="C5" s="80">
        <v>161001</v>
      </c>
      <c r="D5" s="98">
        <v>987654321</v>
      </c>
      <c r="E5" s="20">
        <v>769655158</v>
      </c>
      <c r="F5" s="20" t="s">
        <v>242</v>
      </c>
      <c r="G5" s="20" t="s">
        <v>100</v>
      </c>
      <c r="H5" s="25">
        <v>4250</v>
      </c>
      <c r="I5" s="21">
        <v>45716</v>
      </c>
      <c r="J5" s="21">
        <v>45743</v>
      </c>
      <c r="K5" s="21" t="s">
        <v>101</v>
      </c>
      <c r="L5" s="30">
        <v>2018386</v>
      </c>
      <c r="M5" s="30">
        <v>2018386</v>
      </c>
      <c r="N5" s="24" t="s">
        <v>133</v>
      </c>
      <c r="P5" s="22"/>
      <c r="Q5" s="22"/>
      <c r="R5" s="77"/>
      <c r="T5" s="45">
        <f>MONTH('Servicios Básicos'!$J5)</f>
        <v>3</v>
      </c>
      <c r="U5" s="45">
        <f>YEAR('Servicios Básicos'!$J5)</f>
        <v>2025</v>
      </c>
      <c r="X5"/>
    </row>
    <row r="6" spans="1:24" ht="25.05" customHeight="1">
      <c r="A6" s="20" t="s">
        <v>1</v>
      </c>
      <c r="B6" s="20" t="s">
        <v>99</v>
      </c>
      <c r="C6" s="80">
        <v>161001</v>
      </c>
      <c r="D6" s="98">
        <v>987654321</v>
      </c>
      <c r="E6" s="20">
        <v>965687408</v>
      </c>
      <c r="F6" s="20" t="s">
        <v>241</v>
      </c>
      <c r="G6" s="20" t="s">
        <v>100</v>
      </c>
      <c r="H6" s="25">
        <v>11724541</v>
      </c>
      <c r="I6" s="21">
        <v>45897</v>
      </c>
      <c r="J6" s="21">
        <v>45953</v>
      </c>
      <c r="K6" s="21" t="s">
        <v>101</v>
      </c>
      <c r="L6" s="30">
        <v>854685</v>
      </c>
      <c r="M6" s="30">
        <v>854685</v>
      </c>
      <c r="N6" s="24" t="s">
        <v>154</v>
      </c>
      <c r="P6" s="22"/>
      <c r="Q6" s="22"/>
      <c r="R6" s="77"/>
      <c r="T6" s="45">
        <f>MONTH('Servicios Básicos'!$J6)</f>
        <v>10</v>
      </c>
      <c r="U6" s="45">
        <f>YEAR('Servicios Básicos'!$J6)</f>
        <v>2025</v>
      </c>
      <c r="X6"/>
    </row>
    <row r="7" spans="1:24" ht="25.05" customHeight="1">
      <c r="A7" s="20" t="s">
        <v>1</v>
      </c>
      <c r="B7" s="20" t="s">
        <v>99</v>
      </c>
      <c r="C7" s="80">
        <v>161001</v>
      </c>
      <c r="D7" s="98">
        <v>987654321</v>
      </c>
      <c r="E7" s="20">
        <v>769655158</v>
      </c>
      <c r="F7" s="20" t="s">
        <v>242</v>
      </c>
      <c r="G7" s="20" t="s">
        <v>100</v>
      </c>
      <c r="H7" s="25">
        <v>4824</v>
      </c>
      <c r="I7" s="21">
        <v>45838</v>
      </c>
      <c r="J7" s="21">
        <v>45862</v>
      </c>
      <c r="K7" s="21" t="s">
        <v>101</v>
      </c>
      <c r="L7" s="30">
        <v>762188</v>
      </c>
      <c r="M7" s="30">
        <v>762188</v>
      </c>
      <c r="N7" s="24" t="s">
        <v>155</v>
      </c>
      <c r="P7" s="22"/>
      <c r="Q7" s="22"/>
      <c r="R7" s="77"/>
      <c r="T7" s="45">
        <f>MONTH('Servicios Básicos'!$J7)</f>
        <v>7</v>
      </c>
      <c r="U7" s="45">
        <f>YEAR('Servicios Básicos'!$J7)</f>
        <v>2025</v>
      </c>
      <c r="X7"/>
    </row>
    <row r="8" spans="1:24" ht="25.05" customHeight="1">
      <c r="A8" s="20" t="s">
        <v>1</v>
      </c>
      <c r="B8" s="20" t="s">
        <v>99</v>
      </c>
      <c r="C8" s="80">
        <v>161001</v>
      </c>
      <c r="D8" s="98">
        <v>987654321</v>
      </c>
      <c r="E8" s="20">
        <v>965687408</v>
      </c>
      <c r="F8" s="20" t="s">
        <v>241</v>
      </c>
      <c r="G8" s="20" t="s">
        <v>100</v>
      </c>
      <c r="H8" s="25">
        <v>11658668</v>
      </c>
      <c r="I8" s="21">
        <v>45849</v>
      </c>
      <c r="J8" s="21">
        <v>45876</v>
      </c>
      <c r="K8" s="21" t="s">
        <v>101</v>
      </c>
      <c r="L8" s="30">
        <v>1083870</v>
      </c>
      <c r="M8" s="30">
        <v>1083870</v>
      </c>
      <c r="N8" s="24" t="s">
        <v>156</v>
      </c>
      <c r="P8" s="22"/>
      <c r="Q8" s="22"/>
      <c r="R8" s="77"/>
      <c r="T8" s="45">
        <f>MONTH('Servicios Básicos'!$J8)</f>
        <v>8</v>
      </c>
      <c r="U8" s="45">
        <f>YEAR('Servicios Básicos'!$J8)</f>
        <v>2025</v>
      </c>
      <c r="X8"/>
    </row>
    <row r="9" spans="1:24" ht="25.05" customHeight="1">
      <c r="A9" s="20" t="s">
        <v>1</v>
      </c>
      <c r="B9" s="20" t="s">
        <v>99</v>
      </c>
      <c r="C9" s="80">
        <v>161001</v>
      </c>
      <c r="D9" s="98">
        <v>987654321</v>
      </c>
      <c r="E9" s="20">
        <v>769655158</v>
      </c>
      <c r="F9" s="20" t="s">
        <v>242</v>
      </c>
      <c r="G9" s="20" t="s">
        <v>100</v>
      </c>
      <c r="H9" s="25">
        <v>4959</v>
      </c>
      <c r="I9" s="21">
        <v>45869</v>
      </c>
      <c r="J9" s="21">
        <v>45904</v>
      </c>
      <c r="K9" s="21" t="s">
        <v>101</v>
      </c>
      <c r="L9" s="30">
        <v>1146884</v>
      </c>
      <c r="M9" s="30">
        <f>L9</f>
        <v>1146884</v>
      </c>
      <c r="N9" s="24" t="s">
        <v>172</v>
      </c>
      <c r="P9" s="22"/>
      <c r="Q9" s="22"/>
      <c r="R9" s="77"/>
      <c r="T9" s="45">
        <f>MONTH('Servicios Básicos'!$J9)</f>
        <v>9</v>
      </c>
      <c r="U9" s="45">
        <f>YEAR('Servicios Básicos'!$J9)</f>
        <v>2025</v>
      </c>
      <c r="X9"/>
    </row>
    <row r="10" spans="1:24" ht="25.05" customHeight="1">
      <c r="A10" s="26" t="s">
        <v>9</v>
      </c>
      <c r="B10" s="26"/>
      <c r="C10" s="26"/>
      <c r="D10" s="26"/>
      <c r="E10" s="26"/>
      <c r="F10" s="26"/>
      <c r="G10" s="26"/>
      <c r="H10" s="26"/>
      <c r="I10" s="31"/>
      <c r="J10" s="31"/>
      <c r="K10" s="31"/>
      <c r="L10" s="27">
        <f>SUM(L2:L9)</f>
        <v>13077219</v>
      </c>
      <c r="M10" s="27">
        <f>SUM(Valor_Rendido_Basicos)</f>
        <v>13077219</v>
      </c>
      <c r="N10" s="29"/>
      <c r="T10" s="45">
        <f>MONTH('Servicios Básicos'!$J10)</f>
        <v>1</v>
      </c>
      <c r="U10" s="45">
        <f>YEAR('Servicios Básicos'!$J10)</f>
        <v>1900</v>
      </c>
      <c r="X10"/>
    </row>
  </sheetData>
  <autoFilter ref="A1:N10" xr:uid="{00000000-0009-0000-0000-00000A000000}"/>
  <sortState xmlns:xlrd2="http://schemas.microsoft.com/office/spreadsheetml/2017/richdata2" ref="A2:N5">
    <sortCondition ref="F2:F5"/>
  </sortState>
  <phoneticPr fontId="35" type="noConversion"/>
  <conditionalFormatting sqref="H3:H9">
    <cfRule type="duplicateValues" dxfId="5" priority="2"/>
  </conditionalFormatting>
  <conditionalFormatting sqref="W9:X10 X4:X8 W3:W8">
    <cfRule type="duplicateValues" dxfId="4" priority="29"/>
  </conditionalFormatting>
  <dataValidations xWindow="133" yWindow="261" count="4">
    <dataValidation type="list" allowBlank="1" showInputMessage="1" showErrorMessage="1" sqref="G2:G3" xr:uid="{00000000-0002-0000-0A00-000001000000}">
      <formula1>TIPO_DE_DOCUMENTOS_GASTOS</formula1>
    </dataValidation>
    <dataValidation type="list" allowBlank="1" showInputMessage="1" showErrorMessage="1" sqref="K2" xr:uid="{00000000-0002-0000-0A00-000003000000}">
      <formula1>FORMA_DE_PAGO</formula1>
    </dataValidation>
    <dataValidation type="list" showInputMessage="1" showErrorMessage="1" errorTitle="Error" error="Debe seleccionar una cuenta válida" promptTitle="Cuentas de gastos" prompt="Seleccione la cuenta que se quiere rendir" sqref="A2:A9" xr:uid="{00000000-0002-0000-0A00-000002000000}">
      <formula1>CUENTAS</formula1>
    </dataValidation>
    <dataValidation type="list" allowBlank="1" showInputMessage="1" showErrorMessage="1" sqref="P2:Q9" xr:uid="{A607F11C-99B1-4A48-BF17-D9D9A45A4CAF}">
      <formula1>"OK, PENDIENTE, CON OBSERVACIONES"</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4" operator="equal" id="{28DE2325-56F7-464B-BFF4-4F0C84CF4E47}">
            <xm:f>#REF!</xm:f>
            <x14:dxf>
              <font>
                <color rgb="FF006100"/>
              </font>
              <fill>
                <patternFill>
                  <bgColor rgb="FFC6EFCE"/>
                </patternFill>
              </fill>
            </x14:dxf>
          </x14:cfRule>
          <xm:sqref>D2</xm:sqref>
        </x14:conditionalFormatting>
        <x14:conditionalFormatting xmlns:xm="http://schemas.microsoft.com/office/excel/2006/main">
          <x14:cfRule type="cellIs" priority="1" operator="equal" id="{6EBED526-E729-4E14-ADB3-C3D03F52877A}">
            <xm:f>#REF!</xm:f>
            <x14:dxf>
              <font>
                <color rgb="FF006100"/>
              </font>
              <fill>
                <patternFill>
                  <bgColor rgb="FFC6EFCE"/>
                </patternFill>
              </fill>
            </x14:dxf>
          </x14:cfRule>
          <xm:sqref>D3:D9</xm:sqref>
        </x14:conditionalFormatting>
      </x14:conditionalFormattings>
    </ext>
    <ext xmlns:x14="http://schemas.microsoft.com/office/spreadsheetml/2009/9/main" uri="{CCE6A557-97BC-4b89-ADB6-D9C93CAAB3DF}">
      <x14:dataValidations xmlns:xm="http://schemas.microsoft.com/office/excel/2006/main" xWindow="133" yWindow="261" count="3">
        <x14:dataValidation type="list" allowBlank="1" showInputMessage="1" showErrorMessage="1" xr:uid="{2BF8AED2-1D02-434E-81CB-42C96291A700}">
          <x14:formula1>
            <xm:f>#REF!</xm:f>
          </x14:formula1>
          <xm:sqref>G4:G9</xm:sqref>
        </x14:dataValidation>
        <x14:dataValidation type="list" allowBlank="1" showInputMessage="1" showErrorMessage="1" xr:uid="{51470495-7771-4293-A3F8-F23B261F9AE3}">
          <x14:formula1>
            <xm:f>#REF!</xm:f>
          </x14:formula1>
          <xm:sqref>K3:K9</xm:sqref>
        </x14:dataValidation>
        <x14:dataValidation type="list" operator="lessThanOrEqual" showInputMessage="1" showErrorMessage="1" errorTitle="Advertencia" error="El largo del nombre del ítem es de 50 caracteres_x000a_" promptTitle="Ingresar Item" prompt="Debe ingresar el nombre del item._x000a_(ej: Si usa la cuenta de Servicios Básicos un ítem puede ser Agua)" xr:uid="{D092C3D1-853D-4F5D-8895-C70C41EFEA27}">
          <x14:formula1>
            <xm:f>#REF!</xm:f>
          </x14:formula1>
          <xm:sqref>B2:B9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7"/>
  <sheetViews>
    <sheetView showGridLines="0" zoomScale="80" zoomScaleNormal="80" workbookViewId="0">
      <selection activeCell="E6" sqref="E6"/>
    </sheetView>
  </sheetViews>
  <sheetFormatPr defaultColWidth="11.46484375" defaultRowHeight="14.25"/>
  <cols>
    <col min="1" max="1" width="21.265625" style="5" bestFit="1" customWidth="1"/>
    <col min="2" max="2" width="21.265625" style="5" customWidth="1"/>
    <col min="3" max="3" width="33.73046875" style="5" customWidth="1"/>
    <col min="4" max="4" width="18.19921875" style="5" customWidth="1"/>
    <col min="5" max="6" width="15" style="5" customWidth="1"/>
    <col min="7" max="7" width="27" style="5" customWidth="1"/>
    <col min="8" max="8" width="15" style="5" customWidth="1"/>
    <col min="10" max="11" width="16.19921875" style="59" customWidth="1"/>
    <col min="12" max="12" width="16.796875" style="60" customWidth="1"/>
    <col min="13" max="17" width="18.265625" style="5" customWidth="1"/>
    <col min="18" max="18" width="16.73046875" style="5" customWidth="1"/>
    <col min="19" max="19" width="47.73046875" style="5" customWidth="1"/>
    <col min="20" max="20" width="11.46484375" style="5"/>
    <col min="21" max="21" width="11" style="9" customWidth="1"/>
    <col min="22" max="23" width="11.796875" style="9" customWidth="1"/>
    <col min="24" max="24" width="12.265625" style="9" customWidth="1"/>
    <col min="25" max="257" width="11.46484375" style="5"/>
    <col min="258" max="258" width="21.265625" style="5" bestFit="1" customWidth="1"/>
    <col min="259" max="259" width="21.265625" style="5" customWidth="1"/>
    <col min="260" max="260" width="33.73046875" style="5" customWidth="1"/>
    <col min="261" max="261" width="18.19921875" style="5" customWidth="1"/>
    <col min="262" max="263" width="15" style="5" customWidth="1"/>
    <col min="264" max="264" width="27" style="5" customWidth="1"/>
    <col min="265" max="265" width="15" style="5" customWidth="1"/>
    <col min="266" max="266" width="11.46484375" style="5"/>
    <col min="267" max="268" width="16.19921875" style="5" customWidth="1"/>
    <col min="269" max="269" width="16.796875" style="5" customWidth="1"/>
    <col min="270" max="274" width="18.265625" style="5" customWidth="1"/>
    <col min="275" max="275" width="16.73046875" style="5" customWidth="1"/>
    <col min="276" max="276" width="47.73046875" style="5" customWidth="1"/>
    <col min="277" max="513" width="11.46484375" style="5"/>
    <col min="514" max="514" width="21.265625" style="5" bestFit="1" customWidth="1"/>
    <col min="515" max="515" width="21.265625" style="5" customWidth="1"/>
    <col min="516" max="516" width="33.73046875" style="5" customWidth="1"/>
    <col min="517" max="517" width="18.19921875" style="5" customWidth="1"/>
    <col min="518" max="519" width="15" style="5" customWidth="1"/>
    <col min="520" max="520" width="27" style="5" customWidth="1"/>
    <col min="521" max="521" width="15" style="5" customWidth="1"/>
    <col min="522" max="522" width="11.46484375" style="5"/>
    <col min="523" max="524" width="16.19921875" style="5" customWidth="1"/>
    <col min="525" max="525" width="16.796875" style="5" customWidth="1"/>
    <col min="526" max="530" width="18.265625" style="5" customWidth="1"/>
    <col min="531" max="531" width="16.73046875" style="5" customWidth="1"/>
    <col min="532" max="532" width="47.73046875" style="5" customWidth="1"/>
    <col min="533" max="769" width="11.46484375" style="5"/>
    <col min="770" max="770" width="21.265625" style="5" bestFit="1" customWidth="1"/>
    <col min="771" max="771" width="21.265625" style="5" customWidth="1"/>
    <col min="772" max="772" width="33.73046875" style="5" customWidth="1"/>
    <col min="773" max="773" width="18.19921875" style="5" customWidth="1"/>
    <col min="774" max="775" width="15" style="5" customWidth="1"/>
    <col min="776" max="776" width="27" style="5" customWidth="1"/>
    <col min="777" max="777" width="15" style="5" customWidth="1"/>
    <col min="778" max="778" width="11.46484375" style="5"/>
    <col min="779" max="780" width="16.19921875" style="5" customWidth="1"/>
    <col min="781" max="781" width="16.796875" style="5" customWidth="1"/>
    <col min="782" max="786" width="18.265625" style="5" customWidth="1"/>
    <col min="787" max="787" width="16.73046875" style="5" customWidth="1"/>
    <col min="788" max="788" width="47.73046875" style="5" customWidth="1"/>
    <col min="789" max="1025" width="11.46484375" style="5"/>
    <col min="1026" max="1026" width="21.265625" style="5" bestFit="1" customWidth="1"/>
    <col min="1027" max="1027" width="21.265625" style="5" customWidth="1"/>
    <col min="1028" max="1028" width="33.73046875" style="5" customWidth="1"/>
    <col min="1029" max="1029" width="18.19921875" style="5" customWidth="1"/>
    <col min="1030" max="1031" width="15" style="5" customWidth="1"/>
    <col min="1032" max="1032" width="27" style="5" customWidth="1"/>
    <col min="1033" max="1033" width="15" style="5" customWidth="1"/>
    <col min="1034" max="1034" width="11.46484375" style="5"/>
    <col min="1035" max="1036" width="16.19921875" style="5" customWidth="1"/>
    <col min="1037" max="1037" width="16.796875" style="5" customWidth="1"/>
    <col min="1038" max="1042" width="18.265625" style="5" customWidth="1"/>
    <col min="1043" max="1043" width="16.73046875" style="5" customWidth="1"/>
    <col min="1044" max="1044" width="47.73046875" style="5" customWidth="1"/>
    <col min="1045" max="1281" width="11.46484375" style="5"/>
    <col min="1282" max="1282" width="21.265625" style="5" bestFit="1" customWidth="1"/>
    <col min="1283" max="1283" width="21.265625" style="5" customWidth="1"/>
    <col min="1284" max="1284" width="33.73046875" style="5" customWidth="1"/>
    <col min="1285" max="1285" width="18.19921875" style="5" customWidth="1"/>
    <col min="1286" max="1287" width="15" style="5" customWidth="1"/>
    <col min="1288" max="1288" width="27" style="5" customWidth="1"/>
    <col min="1289" max="1289" width="15" style="5" customWidth="1"/>
    <col min="1290" max="1290" width="11.46484375" style="5"/>
    <col min="1291" max="1292" width="16.19921875" style="5" customWidth="1"/>
    <col min="1293" max="1293" width="16.796875" style="5" customWidth="1"/>
    <col min="1294" max="1298" width="18.265625" style="5" customWidth="1"/>
    <col min="1299" max="1299" width="16.73046875" style="5" customWidth="1"/>
    <col min="1300" max="1300" width="47.73046875" style="5" customWidth="1"/>
    <col min="1301" max="1537" width="11.46484375" style="5"/>
    <col min="1538" max="1538" width="21.265625" style="5" bestFit="1" customWidth="1"/>
    <col min="1539" max="1539" width="21.265625" style="5" customWidth="1"/>
    <col min="1540" max="1540" width="33.73046875" style="5" customWidth="1"/>
    <col min="1541" max="1541" width="18.19921875" style="5" customWidth="1"/>
    <col min="1542" max="1543" width="15" style="5" customWidth="1"/>
    <col min="1544" max="1544" width="27" style="5" customWidth="1"/>
    <col min="1545" max="1545" width="15" style="5" customWidth="1"/>
    <col min="1546" max="1546" width="11.46484375" style="5"/>
    <col min="1547" max="1548" width="16.19921875" style="5" customWidth="1"/>
    <col min="1549" max="1549" width="16.796875" style="5" customWidth="1"/>
    <col min="1550" max="1554" width="18.265625" style="5" customWidth="1"/>
    <col min="1555" max="1555" width="16.73046875" style="5" customWidth="1"/>
    <col min="1556" max="1556" width="47.73046875" style="5" customWidth="1"/>
    <col min="1557" max="1793" width="11.46484375" style="5"/>
    <col min="1794" max="1794" width="21.265625" style="5" bestFit="1" customWidth="1"/>
    <col min="1795" max="1795" width="21.265625" style="5" customWidth="1"/>
    <col min="1796" max="1796" width="33.73046875" style="5" customWidth="1"/>
    <col min="1797" max="1797" width="18.19921875" style="5" customWidth="1"/>
    <col min="1798" max="1799" width="15" style="5" customWidth="1"/>
    <col min="1800" max="1800" width="27" style="5" customWidth="1"/>
    <col min="1801" max="1801" width="15" style="5" customWidth="1"/>
    <col min="1802" max="1802" width="11.46484375" style="5"/>
    <col min="1803" max="1804" width="16.19921875" style="5" customWidth="1"/>
    <col min="1805" max="1805" width="16.796875" style="5" customWidth="1"/>
    <col min="1806" max="1810" width="18.265625" style="5" customWidth="1"/>
    <col min="1811" max="1811" width="16.73046875" style="5" customWidth="1"/>
    <col min="1812" max="1812" width="47.73046875" style="5" customWidth="1"/>
    <col min="1813" max="2049" width="11.46484375" style="5"/>
    <col min="2050" max="2050" width="21.265625" style="5" bestFit="1" customWidth="1"/>
    <col min="2051" max="2051" width="21.265625" style="5" customWidth="1"/>
    <col min="2052" max="2052" width="33.73046875" style="5" customWidth="1"/>
    <col min="2053" max="2053" width="18.19921875" style="5" customWidth="1"/>
    <col min="2054" max="2055" width="15" style="5" customWidth="1"/>
    <col min="2056" max="2056" width="27" style="5" customWidth="1"/>
    <col min="2057" max="2057" width="15" style="5" customWidth="1"/>
    <col min="2058" max="2058" width="11.46484375" style="5"/>
    <col min="2059" max="2060" width="16.19921875" style="5" customWidth="1"/>
    <col min="2061" max="2061" width="16.796875" style="5" customWidth="1"/>
    <col min="2062" max="2066" width="18.265625" style="5" customWidth="1"/>
    <col min="2067" max="2067" width="16.73046875" style="5" customWidth="1"/>
    <col min="2068" max="2068" width="47.73046875" style="5" customWidth="1"/>
    <col min="2069" max="2305" width="11.46484375" style="5"/>
    <col min="2306" max="2306" width="21.265625" style="5" bestFit="1" customWidth="1"/>
    <col min="2307" max="2307" width="21.265625" style="5" customWidth="1"/>
    <col min="2308" max="2308" width="33.73046875" style="5" customWidth="1"/>
    <col min="2309" max="2309" width="18.19921875" style="5" customWidth="1"/>
    <col min="2310" max="2311" width="15" style="5" customWidth="1"/>
    <col min="2312" max="2312" width="27" style="5" customWidth="1"/>
    <col min="2313" max="2313" width="15" style="5" customWidth="1"/>
    <col min="2314" max="2314" width="11.46484375" style="5"/>
    <col min="2315" max="2316" width="16.19921875" style="5" customWidth="1"/>
    <col min="2317" max="2317" width="16.796875" style="5" customWidth="1"/>
    <col min="2318" max="2322" width="18.265625" style="5" customWidth="1"/>
    <col min="2323" max="2323" width="16.73046875" style="5" customWidth="1"/>
    <col min="2324" max="2324" width="47.73046875" style="5" customWidth="1"/>
    <col min="2325" max="2561" width="11.46484375" style="5"/>
    <col min="2562" max="2562" width="21.265625" style="5" bestFit="1" customWidth="1"/>
    <col min="2563" max="2563" width="21.265625" style="5" customWidth="1"/>
    <col min="2564" max="2564" width="33.73046875" style="5" customWidth="1"/>
    <col min="2565" max="2565" width="18.19921875" style="5" customWidth="1"/>
    <col min="2566" max="2567" width="15" style="5" customWidth="1"/>
    <col min="2568" max="2568" width="27" style="5" customWidth="1"/>
    <col min="2569" max="2569" width="15" style="5" customWidth="1"/>
    <col min="2570" max="2570" width="11.46484375" style="5"/>
    <col min="2571" max="2572" width="16.19921875" style="5" customWidth="1"/>
    <col min="2573" max="2573" width="16.796875" style="5" customWidth="1"/>
    <col min="2574" max="2578" width="18.265625" style="5" customWidth="1"/>
    <col min="2579" max="2579" width="16.73046875" style="5" customWidth="1"/>
    <col min="2580" max="2580" width="47.73046875" style="5" customWidth="1"/>
    <col min="2581" max="2817" width="11.46484375" style="5"/>
    <col min="2818" max="2818" width="21.265625" style="5" bestFit="1" customWidth="1"/>
    <col min="2819" max="2819" width="21.265625" style="5" customWidth="1"/>
    <col min="2820" max="2820" width="33.73046875" style="5" customWidth="1"/>
    <col min="2821" max="2821" width="18.19921875" style="5" customWidth="1"/>
    <col min="2822" max="2823" width="15" style="5" customWidth="1"/>
    <col min="2824" max="2824" width="27" style="5" customWidth="1"/>
    <col min="2825" max="2825" width="15" style="5" customWidth="1"/>
    <col min="2826" max="2826" width="11.46484375" style="5"/>
    <col min="2827" max="2828" width="16.19921875" style="5" customWidth="1"/>
    <col min="2829" max="2829" width="16.796875" style="5" customWidth="1"/>
    <col min="2830" max="2834" width="18.265625" style="5" customWidth="1"/>
    <col min="2835" max="2835" width="16.73046875" style="5" customWidth="1"/>
    <col min="2836" max="2836" width="47.73046875" style="5" customWidth="1"/>
    <col min="2837" max="3073" width="11.46484375" style="5"/>
    <col min="3074" max="3074" width="21.265625" style="5" bestFit="1" customWidth="1"/>
    <col min="3075" max="3075" width="21.265625" style="5" customWidth="1"/>
    <col min="3076" max="3076" width="33.73046875" style="5" customWidth="1"/>
    <col min="3077" max="3077" width="18.19921875" style="5" customWidth="1"/>
    <col min="3078" max="3079" width="15" style="5" customWidth="1"/>
    <col min="3080" max="3080" width="27" style="5" customWidth="1"/>
    <col min="3081" max="3081" width="15" style="5" customWidth="1"/>
    <col min="3082" max="3082" width="11.46484375" style="5"/>
    <col min="3083" max="3084" width="16.19921875" style="5" customWidth="1"/>
    <col min="3085" max="3085" width="16.796875" style="5" customWidth="1"/>
    <col min="3086" max="3090" width="18.265625" style="5" customWidth="1"/>
    <col min="3091" max="3091" width="16.73046875" style="5" customWidth="1"/>
    <col min="3092" max="3092" width="47.73046875" style="5" customWidth="1"/>
    <col min="3093" max="3329" width="11.46484375" style="5"/>
    <col min="3330" max="3330" width="21.265625" style="5" bestFit="1" customWidth="1"/>
    <col min="3331" max="3331" width="21.265625" style="5" customWidth="1"/>
    <col min="3332" max="3332" width="33.73046875" style="5" customWidth="1"/>
    <col min="3333" max="3333" width="18.19921875" style="5" customWidth="1"/>
    <col min="3334" max="3335" width="15" style="5" customWidth="1"/>
    <col min="3336" max="3336" width="27" style="5" customWidth="1"/>
    <col min="3337" max="3337" width="15" style="5" customWidth="1"/>
    <col min="3338" max="3338" width="11.46484375" style="5"/>
    <col min="3339" max="3340" width="16.19921875" style="5" customWidth="1"/>
    <col min="3341" max="3341" width="16.796875" style="5" customWidth="1"/>
    <col min="3342" max="3346" width="18.265625" style="5" customWidth="1"/>
    <col min="3347" max="3347" width="16.73046875" style="5" customWidth="1"/>
    <col min="3348" max="3348" width="47.73046875" style="5" customWidth="1"/>
    <col min="3349" max="3585" width="11.46484375" style="5"/>
    <col min="3586" max="3586" width="21.265625" style="5" bestFit="1" customWidth="1"/>
    <col min="3587" max="3587" width="21.265625" style="5" customWidth="1"/>
    <col min="3588" max="3588" width="33.73046875" style="5" customWidth="1"/>
    <col min="3589" max="3589" width="18.19921875" style="5" customWidth="1"/>
    <col min="3590" max="3591" width="15" style="5" customWidth="1"/>
    <col min="3592" max="3592" width="27" style="5" customWidth="1"/>
    <col min="3593" max="3593" width="15" style="5" customWidth="1"/>
    <col min="3594" max="3594" width="11.46484375" style="5"/>
    <col min="3595" max="3596" width="16.19921875" style="5" customWidth="1"/>
    <col min="3597" max="3597" width="16.796875" style="5" customWidth="1"/>
    <col min="3598" max="3602" width="18.265625" style="5" customWidth="1"/>
    <col min="3603" max="3603" width="16.73046875" style="5" customWidth="1"/>
    <col min="3604" max="3604" width="47.73046875" style="5" customWidth="1"/>
    <col min="3605" max="3841" width="11.46484375" style="5"/>
    <col min="3842" max="3842" width="21.265625" style="5" bestFit="1" customWidth="1"/>
    <col min="3843" max="3843" width="21.265625" style="5" customWidth="1"/>
    <col min="3844" max="3844" width="33.73046875" style="5" customWidth="1"/>
    <col min="3845" max="3845" width="18.19921875" style="5" customWidth="1"/>
    <col min="3846" max="3847" width="15" style="5" customWidth="1"/>
    <col min="3848" max="3848" width="27" style="5" customWidth="1"/>
    <col min="3849" max="3849" width="15" style="5" customWidth="1"/>
    <col min="3850" max="3850" width="11.46484375" style="5"/>
    <col min="3851" max="3852" width="16.19921875" style="5" customWidth="1"/>
    <col min="3853" max="3853" width="16.796875" style="5" customWidth="1"/>
    <col min="3854" max="3858" width="18.265625" style="5" customWidth="1"/>
    <col min="3859" max="3859" width="16.73046875" style="5" customWidth="1"/>
    <col min="3860" max="3860" width="47.73046875" style="5" customWidth="1"/>
    <col min="3861" max="4097" width="11.46484375" style="5"/>
    <col min="4098" max="4098" width="21.265625" style="5" bestFit="1" customWidth="1"/>
    <col min="4099" max="4099" width="21.265625" style="5" customWidth="1"/>
    <col min="4100" max="4100" width="33.73046875" style="5" customWidth="1"/>
    <col min="4101" max="4101" width="18.19921875" style="5" customWidth="1"/>
    <col min="4102" max="4103" width="15" style="5" customWidth="1"/>
    <col min="4104" max="4104" width="27" style="5" customWidth="1"/>
    <col min="4105" max="4105" width="15" style="5" customWidth="1"/>
    <col min="4106" max="4106" width="11.46484375" style="5"/>
    <col min="4107" max="4108" width="16.19921875" style="5" customWidth="1"/>
    <col min="4109" max="4109" width="16.796875" style="5" customWidth="1"/>
    <col min="4110" max="4114" width="18.265625" style="5" customWidth="1"/>
    <col min="4115" max="4115" width="16.73046875" style="5" customWidth="1"/>
    <col min="4116" max="4116" width="47.73046875" style="5" customWidth="1"/>
    <col min="4117" max="4353" width="11.46484375" style="5"/>
    <col min="4354" max="4354" width="21.265625" style="5" bestFit="1" customWidth="1"/>
    <col min="4355" max="4355" width="21.265625" style="5" customWidth="1"/>
    <col min="4356" max="4356" width="33.73046875" style="5" customWidth="1"/>
    <col min="4357" max="4357" width="18.19921875" style="5" customWidth="1"/>
    <col min="4358" max="4359" width="15" style="5" customWidth="1"/>
    <col min="4360" max="4360" width="27" style="5" customWidth="1"/>
    <col min="4361" max="4361" width="15" style="5" customWidth="1"/>
    <col min="4362" max="4362" width="11.46484375" style="5"/>
    <col min="4363" max="4364" width="16.19921875" style="5" customWidth="1"/>
    <col min="4365" max="4365" width="16.796875" style="5" customWidth="1"/>
    <col min="4366" max="4370" width="18.265625" style="5" customWidth="1"/>
    <col min="4371" max="4371" width="16.73046875" style="5" customWidth="1"/>
    <col min="4372" max="4372" width="47.73046875" style="5" customWidth="1"/>
    <col min="4373" max="4609" width="11.46484375" style="5"/>
    <col min="4610" max="4610" width="21.265625" style="5" bestFit="1" customWidth="1"/>
    <col min="4611" max="4611" width="21.265625" style="5" customWidth="1"/>
    <col min="4612" max="4612" width="33.73046875" style="5" customWidth="1"/>
    <col min="4613" max="4613" width="18.19921875" style="5" customWidth="1"/>
    <col min="4614" max="4615" width="15" style="5" customWidth="1"/>
    <col min="4616" max="4616" width="27" style="5" customWidth="1"/>
    <col min="4617" max="4617" width="15" style="5" customWidth="1"/>
    <col min="4618" max="4618" width="11.46484375" style="5"/>
    <col min="4619" max="4620" width="16.19921875" style="5" customWidth="1"/>
    <col min="4621" max="4621" width="16.796875" style="5" customWidth="1"/>
    <col min="4622" max="4626" width="18.265625" style="5" customWidth="1"/>
    <col min="4627" max="4627" width="16.73046875" style="5" customWidth="1"/>
    <col min="4628" max="4628" width="47.73046875" style="5" customWidth="1"/>
    <col min="4629" max="4865" width="11.46484375" style="5"/>
    <col min="4866" max="4866" width="21.265625" style="5" bestFit="1" customWidth="1"/>
    <col min="4867" max="4867" width="21.265625" style="5" customWidth="1"/>
    <col min="4868" max="4868" width="33.73046875" style="5" customWidth="1"/>
    <col min="4869" max="4869" width="18.19921875" style="5" customWidth="1"/>
    <col min="4870" max="4871" width="15" style="5" customWidth="1"/>
    <col min="4872" max="4872" width="27" style="5" customWidth="1"/>
    <col min="4873" max="4873" width="15" style="5" customWidth="1"/>
    <col min="4874" max="4874" width="11.46484375" style="5"/>
    <col min="4875" max="4876" width="16.19921875" style="5" customWidth="1"/>
    <col min="4877" max="4877" width="16.796875" style="5" customWidth="1"/>
    <col min="4878" max="4882" width="18.265625" style="5" customWidth="1"/>
    <col min="4883" max="4883" width="16.73046875" style="5" customWidth="1"/>
    <col min="4884" max="4884" width="47.73046875" style="5" customWidth="1"/>
    <col min="4885" max="5121" width="11.46484375" style="5"/>
    <col min="5122" max="5122" width="21.265625" style="5" bestFit="1" customWidth="1"/>
    <col min="5123" max="5123" width="21.265625" style="5" customWidth="1"/>
    <col min="5124" max="5124" width="33.73046875" style="5" customWidth="1"/>
    <col min="5125" max="5125" width="18.19921875" style="5" customWidth="1"/>
    <col min="5126" max="5127" width="15" style="5" customWidth="1"/>
    <col min="5128" max="5128" width="27" style="5" customWidth="1"/>
    <col min="5129" max="5129" width="15" style="5" customWidth="1"/>
    <col min="5130" max="5130" width="11.46484375" style="5"/>
    <col min="5131" max="5132" width="16.19921875" style="5" customWidth="1"/>
    <col min="5133" max="5133" width="16.796875" style="5" customWidth="1"/>
    <col min="5134" max="5138" width="18.265625" style="5" customWidth="1"/>
    <col min="5139" max="5139" width="16.73046875" style="5" customWidth="1"/>
    <col min="5140" max="5140" width="47.73046875" style="5" customWidth="1"/>
    <col min="5141" max="5377" width="11.46484375" style="5"/>
    <col min="5378" max="5378" width="21.265625" style="5" bestFit="1" customWidth="1"/>
    <col min="5379" max="5379" width="21.265625" style="5" customWidth="1"/>
    <col min="5380" max="5380" width="33.73046875" style="5" customWidth="1"/>
    <col min="5381" max="5381" width="18.19921875" style="5" customWidth="1"/>
    <col min="5382" max="5383" width="15" style="5" customWidth="1"/>
    <col min="5384" max="5384" width="27" style="5" customWidth="1"/>
    <col min="5385" max="5385" width="15" style="5" customWidth="1"/>
    <col min="5386" max="5386" width="11.46484375" style="5"/>
    <col min="5387" max="5388" width="16.19921875" style="5" customWidth="1"/>
    <col min="5389" max="5389" width="16.796875" style="5" customWidth="1"/>
    <col min="5390" max="5394" width="18.265625" style="5" customWidth="1"/>
    <col min="5395" max="5395" width="16.73046875" style="5" customWidth="1"/>
    <col min="5396" max="5396" width="47.73046875" style="5" customWidth="1"/>
    <col min="5397" max="5633" width="11.46484375" style="5"/>
    <col min="5634" max="5634" width="21.265625" style="5" bestFit="1" customWidth="1"/>
    <col min="5635" max="5635" width="21.265625" style="5" customWidth="1"/>
    <col min="5636" max="5636" width="33.73046875" style="5" customWidth="1"/>
    <col min="5637" max="5637" width="18.19921875" style="5" customWidth="1"/>
    <col min="5638" max="5639" width="15" style="5" customWidth="1"/>
    <col min="5640" max="5640" width="27" style="5" customWidth="1"/>
    <col min="5641" max="5641" width="15" style="5" customWidth="1"/>
    <col min="5642" max="5642" width="11.46484375" style="5"/>
    <col min="5643" max="5644" width="16.19921875" style="5" customWidth="1"/>
    <col min="5645" max="5645" width="16.796875" style="5" customWidth="1"/>
    <col min="5646" max="5650" width="18.265625" style="5" customWidth="1"/>
    <col min="5651" max="5651" width="16.73046875" style="5" customWidth="1"/>
    <col min="5652" max="5652" width="47.73046875" style="5" customWidth="1"/>
    <col min="5653" max="5889" width="11.46484375" style="5"/>
    <col min="5890" max="5890" width="21.265625" style="5" bestFit="1" customWidth="1"/>
    <col min="5891" max="5891" width="21.265625" style="5" customWidth="1"/>
    <col min="5892" max="5892" width="33.73046875" style="5" customWidth="1"/>
    <col min="5893" max="5893" width="18.19921875" style="5" customWidth="1"/>
    <col min="5894" max="5895" width="15" style="5" customWidth="1"/>
    <col min="5896" max="5896" width="27" style="5" customWidth="1"/>
    <col min="5897" max="5897" width="15" style="5" customWidth="1"/>
    <col min="5898" max="5898" width="11.46484375" style="5"/>
    <col min="5899" max="5900" width="16.19921875" style="5" customWidth="1"/>
    <col min="5901" max="5901" width="16.796875" style="5" customWidth="1"/>
    <col min="5902" max="5906" width="18.265625" style="5" customWidth="1"/>
    <col min="5907" max="5907" width="16.73046875" style="5" customWidth="1"/>
    <col min="5908" max="5908" width="47.73046875" style="5" customWidth="1"/>
    <col min="5909" max="6145" width="11.46484375" style="5"/>
    <col min="6146" max="6146" width="21.265625" style="5" bestFit="1" customWidth="1"/>
    <col min="6147" max="6147" width="21.265625" style="5" customWidth="1"/>
    <col min="6148" max="6148" width="33.73046875" style="5" customWidth="1"/>
    <col min="6149" max="6149" width="18.19921875" style="5" customWidth="1"/>
    <col min="6150" max="6151" width="15" style="5" customWidth="1"/>
    <col min="6152" max="6152" width="27" style="5" customWidth="1"/>
    <col min="6153" max="6153" width="15" style="5" customWidth="1"/>
    <col min="6154" max="6154" width="11.46484375" style="5"/>
    <col min="6155" max="6156" width="16.19921875" style="5" customWidth="1"/>
    <col min="6157" max="6157" width="16.796875" style="5" customWidth="1"/>
    <col min="6158" max="6162" width="18.265625" style="5" customWidth="1"/>
    <col min="6163" max="6163" width="16.73046875" style="5" customWidth="1"/>
    <col min="6164" max="6164" width="47.73046875" style="5" customWidth="1"/>
    <col min="6165" max="6401" width="11.46484375" style="5"/>
    <col min="6402" max="6402" width="21.265625" style="5" bestFit="1" customWidth="1"/>
    <col min="6403" max="6403" width="21.265625" style="5" customWidth="1"/>
    <col min="6404" max="6404" width="33.73046875" style="5" customWidth="1"/>
    <col min="6405" max="6405" width="18.19921875" style="5" customWidth="1"/>
    <col min="6406" max="6407" width="15" style="5" customWidth="1"/>
    <col min="6408" max="6408" width="27" style="5" customWidth="1"/>
    <col min="6409" max="6409" width="15" style="5" customWidth="1"/>
    <col min="6410" max="6410" width="11.46484375" style="5"/>
    <col min="6411" max="6412" width="16.19921875" style="5" customWidth="1"/>
    <col min="6413" max="6413" width="16.796875" style="5" customWidth="1"/>
    <col min="6414" max="6418" width="18.265625" style="5" customWidth="1"/>
    <col min="6419" max="6419" width="16.73046875" style="5" customWidth="1"/>
    <col min="6420" max="6420" width="47.73046875" style="5" customWidth="1"/>
    <col min="6421" max="6657" width="11.46484375" style="5"/>
    <col min="6658" max="6658" width="21.265625" style="5" bestFit="1" customWidth="1"/>
    <col min="6659" max="6659" width="21.265625" style="5" customWidth="1"/>
    <col min="6660" max="6660" width="33.73046875" style="5" customWidth="1"/>
    <col min="6661" max="6661" width="18.19921875" style="5" customWidth="1"/>
    <col min="6662" max="6663" width="15" style="5" customWidth="1"/>
    <col min="6664" max="6664" width="27" style="5" customWidth="1"/>
    <col min="6665" max="6665" width="15" style="5" customWidth="1"/>
    <col min="6666" max="6666" width="11.46484375" style="5"/>
    <col min="6667" max="6668" width="16.19921875" style="5" customWidth="1"/>
    <col min="6669" max="6669" width="16.796875" style="5" customWidth="1"/>
    <col min="6670" max="6674" width="18.265625" style="5" customWidth="1"/>
    <col min="6675" max="6675" width="16.73046875" style="5" customWidth="1"/>
    <col min="6676" max="6676" width="47.73046875" style="5" customWidth="1"/>
    <col min="6677" max="6913" width="11.46484375" style="5"/>
    <col min="6914" max="6914" width="21.265625" style="5" bestFit="1" customWidth="1"/>
    <col min="6915" max="6915" width="21.265625" style="5" customWidth="1"/>
    <col min="6916" max="6916" width="33.73046875" style="5" customWidth="1"/>
    <col min="6917" max="6917" width="18.19921875" style="5" customWidth="1"/>
    <col min="6918" max="6919" width="15" style="5" customWidth="1"/>
    <col min="6920" max="6920" width="27" style="5" customWidth="1"/>
    <col min="6921" max="6921" width="15" style="5" customWidth="1"/>
    <col min="6922" max="6922" width="11.46484375" style="5"/>
    <col min="6923" max="6924" width="16.19921875" style="5" customWidth="1"/>
    <col min="6925" max="6925" width="16.796875" style="5" customWidth="1"/>
    <col min="6926" max="6930" width="18.265625" style="5" customWidth="1"/>
    <col min="6931" max="6931" width="16.73046875" style="5" customWidth="1"/>
    <col min="6932" max="6932" width="47.73046875" style="5" customWidth="1"/>
    <col min="6933" max="7169" width="11.46484375" style="5"/>
    <col min="7170" max="7170" width="21.265625" style="5" bestFit="1" customWidth="1"/>
    <col min="7171" max="7171" width="21.265625" style="5" customWidth="1"/>
    <col min="7172" max="7172" width="33.73046875" style="5" customWidth="1"/>
    <col min="7173" max="7173" width="18.19921875" style="5" customWidth="1"/>
    <col min="7174" max="7175" width="15" style="5" customWidth="1"/>
    <col min="7176" max="7176" width="27" style="5" customWidth="1"/>
    <col min="7177" max="7177" width="15" style="5" customWidth="1"/>
    <col min="7178" max="7178" width="11.46484375" style="5"/>
    <col min="7179" max="7180" width="16.19921875" style="5" customWidth="1"/>
    <col min="7181" max="7181" width="16.796875" style="5" customWidth="1"/>
    <col min="7182" max="7186" width="18.265625" style="5" customWidth="1"/>
    <col min="7187" max="7187" width="16.73046875" style="5" customWidth="1"/>
    <col min="7188" max="7188" width="47.73046875" style="5" customWidth="1"/>
    <col min="7189" max="7425" width="11.46484375" style="5"/>
    <col min="7426" max="7426" width="21.265625" style="5" bestFit="1" customWidth="1"/>
    <col min="7427" max="7427" width="21.265625" style="5" customWidth="1"/>
    <col min="7428" max="7428" width="33.73046875" style="5" customWidth="1"/>
    <col min="7429" max="7429" width="18.19921875" style="5" customWidth="1"/>
    <col min="7430" max="7431" width="15" style="5" customWidth="1"/>
    <col min="7432" max="7432" width="27" style="5" customWidth="1"/>
    <col min="7433" max="7433" width="15" style="5" customWidth="1"/>
    <col min="7434" max="7434" width="11.46484375" style="5"/>
    <col min="7435" max="7436" width="16.19921875" style="5" customWidth="1"/>
    <col min="7437" max="7437" width="16.796875" style="5" customWidth="1"/>
    <col min="7438" max="7442" width="18.265625" style="5" customWidth="1"/>
    <col min="7443" max="7443" width="16.73046875" style="5" customWidth="1"/>
    <col min="7444" max="7444" width="47.73046875" style="5" customWidth="1"/>
    <col min="7445" max="7681" width="11.46484375" style="5"/>
    <col min="7682" max="7682" width="21.265625" style="5" bestFit="1" customWidth="1"/>
    <col min="7683" max="7683" width="21.265625" style="5" customWidth="1"/>
    <col min="7684" max="7684" width="33.73046875" style="5" customWidth="1"/>
    <col min="7685" max="7685" width="18.19921875" style="5" customWidth="1"/>
    <col min="7686" max="7687" width="15" style="5" customWidth="1"/>
    <col min="7688" max="7688" width="27" style="5" customWidth="1"/>
    <col min="7689" max="7689" width="15" style="5" customWidth="1"/>
    <col min="7690" max="7690" width="11.46484375" style="5"/>
    <col min="7691" max="7692" width="16.19921875" style="5" customWidth="1"/>
    <col min="7693" max="7693" width="16.796875" style="5" customWidth="1"/>
    <col min="7694" max="7698" width="18.265625" style="5" customWidth="1"/>
    <col min="7699" max="7699" width="16.73046875" style="5" customWidth="1"/>
    <col min="7700" max="7700" width="47.73046875" style="5" customWidth="1"/>
    <col min="7701" max="7937" width="11.46484375" style="5"/>
    <col min="7938" max="7938" width="21.265625" style="5" bestFit="1" customWidth="1"/>
    <col min="7939" max="7939" width="21.265625" style="5" customWidth="1"/>
    <col min="7940" max="7940" width="33.73046875" style="5" customWidth="1"/>
    <col min="7941" max="7941" width="18.19921875" style="5" customWidth="1"/>
    <col min="7942" max="7943" width="15" style="5" customWidth="1"/>
    <col min="7944" max="7944" width="27" style="5" customWidth="1"/>
    <col min="7945" max="7945" width="15" style="5" customWidth="1"/>
    <col min="7946" max="7946" width="11.46484375" style="5"/>
    <col min="7947" max="7948" width="16.19921875" style="5" customWidth="1"/>
    <col min="7949" max="7949" width="16.796875" style="5" customWidth="1"/>
    <col min="7950" max="7954" width="18.265625" style="5" customWidth="1"/>
    <col min="7955" max="7955" width="16.73046875" style="5" customWidth="1"/>
    <col min="7956" max="7956" width="47.73046875" style="5" customWidth="1"/>
    <col min="7957" max="8193" width="11.46484375" style="5"/>
    <col min="8194" max="8194" width="21.265625" style="5" bestFit="1" customWidth="1"/>
    <col min="8195" max="8195" width="21.265625" style="5" customWidth="1"/>
    <col min="8196" max="8196" width="33.73046875" style="5" customWidth="1"/>
    <col min="8197" max="8197" width="18.19921875" style="5" customWidth="1"/>
    <col min="8198" max="8199" width="15" style="5" customWidth="1"/>
    <col min="8200" max="8200" width="27" style="5" customWidth="1"/>
    <col min="8201" max="8201" width="15" style="5" customWidth="1"/>
    <col min="8202" max="8202" width="11.46484375" style="5"/>
    <col min="8203" max="8204" width="16.19921875" style="5" customWidth="1"/>
    <col min="8205" max="8205" width="16.796875" style="5" customWidth="1"/>
    <col min="8206" max="8210" width="18.265625" style="5" customWidth="1"/>
    <col min="8211" max="8211" width="16.73046875" style="5" customWidth="1"/>
    <col min="8212" max="8212" width="47.73046875" style="5" customWidth="1"/>
    <col min="8213" max="8449" width="11.46484375" style="5"/>
    <col min="8450" max="8450" width="21.265625" style="5" bestFit="1" customWidth="1"/>
    <col min="8451" max="8451" width="21.265625" style="5" customWidth="1"/>
    <col min="8452" max="8452" width="33.73046875" style="5" customWidth="1"/>
    <col min="8453" max="8453" width="18.19921875" style="5" customWidth="1"/>
    <col min="8454" max="8455" width="15" style="5" customWidth="1"/>
    <col min="8456" max="8456" width="27" style="5" customWidth="1"/>
    <col min="8457" max="8457" width="15" style="5" customWidth="1"/>
    <col min="8458" max="8458" width="11.46484375" style="5"/>
    <col min="8459" max="8460" width="16.19921875" style="5" customWidth="1"/>
    <col min="8461" max="8461" width="16.796875" style="5" customWidth="1"/>
    <col min="8462" max="8466" width="18.265625" style="5" customWidth="1"/>
    <col min="8467" max="8467" width="16.73046875" style="5" customWidth="1"/>
    <col min="8468" max="8468" width="47.73046875" style="5" customWidth="1"/>
    <col min="8469" max="8705" width="11.46484375" style="5"/>
    <col min="8706" max="8706" width="21.265625" style="5" bestFit="1" customWidth="1"/>
    <col min="8707" max="8707" width="21.265625" style="5" customWidth="1"/>
    <col min="8708" max="8708" width="33.73046875" style="5" customWidth="1"/>
    <col min="8709" max="8709" width="18.19921875" style="5" customWidth="1"/>
    <col min="8710" max="8711" width="15" style="5" customWidth="1"/>
    <col min="8712" max="8712" width="27" style="5" customWidth="1"/>
    <col min="8713" max="8713" width="15" style="5" customWidth="1"/>
    <col min="8714" max="8714" width="11.46484375" style="5"/>
    <col min="8715" max="8716" width="16.19921875" style="5" customWidth="1"/>
    <col min="8717" max="8717" width="16.796875" style="5" customWidth="1"/>
    <col min="8718" max="8722" width="18.265625" style="5" customWidth="1"/>
    <col min="8723" max="8723" width="16.73046875" style="5" customWidth="1"/>
    <col min="8724" max="8724" width="47.73046875" style="5" customWidth="1"/>
    <col min="8725" max="8961" width="11.46484375" style="5"/>
    <col min="8962" max="8962" width="21.265625" style="5" bestFit="1" customWidth="1"/>
    <col min="8963" max="8963" width="21.265625" style="5" customWidth="1"/>
    <col min="8964" max="8964" width="33.73046875" style="5" customWidth="1"/>
    <col min="8965" max="8965" width="18.19921875" style="5" customWidth="1"/>
    <col min="8966" max="8967" width="15" style="5" customWidth="1"/>
    <col min="8968" max="8968" width="27" style="5" customWidth="1"/>
    <col min="8969" max="8969" width="15" style="5" customWidth="1"/>
    <col min="8970" max="8970" width="11.46484375" style="5"/>
    <col min="8971" max="8972" width="16.19921875" style="5" customWidth="1"/>
    <col min="8973" max="8973" width="16.796875" style="5" customWidth="1"/>
    <col min="8974" max="8978" width="18.265625" style="5" customWidth="1"/>
    <col min="8979" max="8979" width="16.73046875" style="5" customWidth="1"/>
    <col min="8980" max="8980" width="47.73046875" style="5" customWidth="1"/>
    <col min="8981" max="9217" width="11.46484375" style="5"/>
    <col min="9218" max="9218" width="21.265625" style="5" bestFit="1" customWidth="1"/>
    <col min="9219" max="9219" width="21.265625" style="5" customWidth="1"/>
    <col min="9220" max="9220" width="33.73046875" style="5" customWidth="1"/>
    <col min="9221" max="9221" width="18.19921875" style="5" customWidth="1"/>
    <col min="9222" max="9223" width="15" style="5" customWidth="1"/>
    <col min="9224" max="9224" width="27" style="5" customWidth="1"/>
    <col min="9225" max="9225" width="15" style="5" customWidth="1"/>
    <col min="9226" max="9226" width="11.46484375" style="5"/>
    <col min="9227" max="9228" width="16.19921875" style="5" customWidth="1"/>
    <col min="9229" max="9229" width="16.796875" style="5" customWidth="1"/>
    <col min="9230" max="9234" width="18.265625" style="5" customWidth="1"/>
    <col min="9235" max="9235" width="16.73046875" style="5" customWidth="1"/>
    <col min="9236" max="9236" width="47.73046875" style="5" customWidth="1"/>
    <col min="9237" max="9473" width="11.46484375" style="5"/>
    <col min="9474" max="9474" width="21.265625" style="5" bestFit="1" customWidth="1"/>
    <col min="9475" max="9475" width="21.265625" style="5" customWidth="1"/>
    <col min="9476" max="9476" width="33.73046875" style="5" customWidth="1"/>
    <col min="9477" max="9477" width="18.19921875" style="5" customWidth="1"/>
    <col min="9478" max="9479" width="15" style="5" customWidth="1"/>
    <col min="9480" max="9480" width="27" style="5" customWidth="1"/>
    <col min="9481" max="9481" width="15" style="5" customWidth="1"/>
    <col min="9482" max="9482" width="11.46484375" style="5"/>
    <col min="9483" max="9484" width="16.19921875" style="5" customWidth="1"/>
    <col min="9485" max="9485" width="16.796875" style="5" customWidth="1"/>
    <col min="9486" max="9490" width="18.265625" style="5" customWidth="1"/>
    <col min="9491" max="9491" width="16.73046875" style="5" customWidth="1"/>
    <col min="9492" max="9492" width="47.73046875" style="5" customWidth="1"/>
    <col min="9493" max="9729" width="11.46484375" style="5"/>
    <col min="9730" max="9730" width="21.265625" style="5" bestFit="1" customWidth="1"/>
    <col min="9731" max="9731" width="21.265625" style="5" customWidth="1"/>
    <col min="9732" max="9732" width="33.73046875" style="5" customWidth="1"/>
    <col min="9733" max="9733" width="18.19921875" style="5" customWidth="1"/>
    <col min="9734" max="9735" width="15" style="5" customWidth="1"/>
    <col min="9736" max="9736" width="27" style="5" customWidth="1"/>
    <col min="9737" max="9737" width="15" style="5" customWidth="1"/>
    <col min="9738" max="9738" width="11.46484375" style="5"/>
    <col min="9739" max="9740" width="16.19921875" style="5" customWidth="1"/>
    <col min="9741" max="9741" width="16.796875" style="5" customWidth="1"/>
    <col min="9742" max="9746" width="18.265625" style="5" customWidth="1"/>
    <col min="9747" max="9747" width="16.73046875" style="5" customWidth="1"/>
    <col min="9748" max="9748" width="47.73046875" style="5" customWidth="1"/>
    <col min="9749" max="9985" width="11.46484375" style="5"/>
    <col min="9986" max="9986" width="21.265625" style="5" bestFit="1" customWidth="1"/>
    <col min="9987" max="9987" width="21.265625" style="5" customWidth="1"/>
    <col min="9988" max="9988" width="33.73046875" style="5" customWidth="1"/>
    <col min="9989" max="9989" width="18.19921875" style="5" customWidth="1"/>
    <col min="9990" max="9991" width="15" style="5" customWidth="1"/>
    <col min="9992" max="9992" width="27" style="5" customWidth="1"/>
    <col min="9993" max="9993" width="15" style="5" customWidth="1"/>
    <col min="9994" max="9994" width="11.46484375" style="5"/>
    <col min="9995" max="9996" width="16.19921875" style="5" customWidth="1"/>
    <col min="9997" max="9997" width="16.796875" style="5" customWidth="1"/>
    <col min="9998" max="10002" width="18.265625" style="5" customWidth="1"/>
    <col min="10003" max="10003" width="16.73046875" style="5" customWidth="1"/>
    <col min="10004" max="10004" width="47.73046875" style="5" customWidth="1"/>
    <col min="10005" max="10241" width="11.46484375" style="5"/>
    <col min="10242" max="10242" width="21.265625" style="5" bestFit="1" customWidth="1"/>
    <col min="10243" max="10243" width="21.265625" style="5" customWidth="1"/>
    <col min="10244" max="10244" width="33.73046875" style="5" customWidth="1"/>
    <col min="10245" max="10245" width="18.19921875" style="5" customWidth="1"/>
    <col min="10246" max="10247" width="15" style="5" customWidth="1"/>
    <col min="10248" max="10248" width="27" style="5" customWidth="1"/>
    <col min="10249" max="10249" width="15" style="5" customWidth="1"/>
    <col min="10250" max="10250" width="11.46484375" style="5"/>
    <col min="10251" max="10252" width="16.19921875" style="5" customWidth="1"/>
    <col min="10253" max="10253" width="16.796875" style="5" customWidth="1"/>
    <col min="10254" max="10258" width="18.265625" style="5" customWidth="1"/>
    <col min="10259" max="10259" width="16.73046875" style="5" customWidth="1"/>
    <col min="10260" max="10260" width="47.73046875" style="5" customWidth="1"/>
    <col min="10261" max="10497" width="11.46484375" style="5"/>
    <col min="10498" max="10498" width="21.265625" style="5" bestFit="1" customWidth="1"/>
    <col min="10499" max="10499" width="21.265625" style="5" customWidth="1"/>
    <col min="10500" max="10500" width="33.73046875" style="5" customWidth="1"/>
    <col min="10501" max="10501" width="18.19921875" style="5" customWidth="1"/>
    <col min="10502" max="10503" width="15" style="5" customWidth="1"/>
    <col min="10504" max="10504" width="27" style="5" customWidth="1"/>
    <col min="10505" max="10505" width="15" style="5" customWidth="1"/>
    <col min="10506" max="10506" width="11.46484375" style="5"/>
    <col min="10507" max="10508" width="16.19921875" style="5" customWidth="1"/>
    <col min="10509" max="10509" width="16.796875" style="5" customWidth="1"/>
    <col min="10510" max="10514" width="18.265625" style="5" customWidth="1"/>
    <col min="10515" max="10515" width="16.73046875" style="5" customWidth="1"/>
    <col min="10516" max="10516" width="47.73046875" style="5" customWidth="1"/>
    <col min="10517" max="10753" width="11.46484375" style="5"/>
    <col min="10754" max="10754" width="21.265625" style="5" bestFit="1" customWidth="1"/>
    <col min="10755" max="10755" width="21.265625" style="5" customWidth="1"/>
    <col min="10756" max="10756" width="33.73046875" style="5" customWidth="1"/>
    <col min="10757" max="10757" width="18.19921875" style="5" customWidth="1"/>
    <col min="10758" max="10759" width="15" style="5" customWidth="1"/>
    <col min="10760" max="10760" width="27" style="5" customWidth="1"/>
    <col min="10761" max="10761" width="15" style="5" customWidth="1"/>
    <col min="10762" max="10762" width="11.46484375" style="5"/>
    <col min="10763" max="10764" width="16.19921875" style="5" customWidth="1"/>
    <col min="10765" max="10765" width="16.796875" style="5" customWidth="1"/>
    <col min="10766" max="10770" width="18.265625" style="5" customWidth="1"/>
    <col min="10771" max="10771" width="16.73046875" style="5" customWidth="1"/>
    <col min="10772" max="10772" width="47.73046875" style="5" customWidth="1"/>
    <col min="10773" max="11009" width="11.46484375" style="5"/>
    <col min="11010" max="11010" width="21.265625" style="5" bestFit="1" customWidth="1"/>
    <col min="11011" max="11011" width="21.265625" style="5" customWidth="1"/>
    <col min="11012" max="11012" width="33.73046875" style="5" customWidth="1"/>
    <col min="11013" max="11013" width="18.19921875" style="5" customWidth="1"/>
    <col min="11014" max="11015" width="15" style="5" customWidth="1"/>
    <col min="11016" max="11016" width="27" style="5" customWidth="1"/>
    <col min="11017" max="11017" width="15" style="5" customWidth="1"/>
    <col min="11018" max="11018" width="11.46484375" style="5"/>
    <col min="11019" max="11020" width="16.19921875" style="5" customWidth="1"/>
    <col min="11021" max="11021" width="16.796875" style="5" customWidth="1"/>
    <col min="11022" max="11026" width="18.265625" style="5" customWidth="1"/>
    <col min="11027" max="11027" width="16.73046875" style="5" customWidth="1"/>
    <col min="11028" max="11028" width="47.73046875" style="5" customWidth="1"/>
    <col min="11029" max="11265" width="11.46484375" style="5"/>
    <col min="11266" max="11266" width="21.265625" style="5" bestFit="1" customWidth="1"/>
    <col min="11267" max="11267" width="21.265625" style="5" customWidth="1"/>
    <col min="11268" max="11268" width="33.73046875" style="5" customWidth="1"/>
    <col min="11269" max="11269" width="18.19921875" style="5" customWidth="1"/>
    <col min="11270" max="11271" width="15" style="5" customWidth="1"/>
    <col min="11272" max="11272" width="27" style="5" customWidth="1"/>
    <col min="11273" max="11273" width="15" style="5" customWidth="1"/>
    <col min="11274" max="11274" width="11.46484375" style="5"/>
    <col min="11275" max="11276" width="16.19921875" style="5" customWidth="1"/>
    <col min="11277" max="11277" width="16.796875" style="5" customWidth="1"/>
    <col min="11278" max="11282" width="18.265625" style="5" customWidth="1"/>
    <col min="11283" max="11283" width="16.73046875" style="5" customWidth="1"/>
    <col min="11284" max="11284" width="47.73046875" style="5" customWidth="1"/>
    <col min="11285" max="11521" width="11.46484375" style="5"/>
    <col min="11522" max="11522" width="21.265625" style="5" bestFit="1" customWidth="1"/>
    <col min="11523" max="11523" width="21.265625" style="5" customWidth="1"/>
    <col min="11524" max="11524" width="33.73046875" style="5" customWidth="1"/>
    <col min="11525" max="11525" width="18.19921875" style="5" customWidth="1"/>
    <col min="11526" max="11527" width="15" style="5" customWidth="1"/>
    <col min="11528" max="11528" width="27" style="5" customWidth="1"/>
    <col min="11529" max="11529" width="15" style="5" customWidth="1"/>
    <col min="11530" max="11530" width="11.46484375" style="5"/>
    <col min="11531" max="11532" width="16.19921875" style="5" customWidth="1"/>
    <col min="11533" max="11533" width="16.796875" style="5" customWidth="1"/>
    <col min="11534" max="11538" width="18.265625" style="5" customWidth="1"/>
    <col min="11539" max="11539" width="16.73046875" style="5" customWidth="1"/>
    <col min="11540" max="11540" width="47.73046875" style="5" customWidth="1"/>
    <col min="11541" max="11777" width="11.46484375" style="5"/>
    <col min="11778" max="11778" width="21.265625" style="5" bestFit="1" customWidth="1"/>
    <col min="11779" max="11779" width="21.265625" style="5" customWidth="1"/>
    <col min="11780" max="11780" width="33.73046875" style="5" customWidth="1"/>
    <col min="11781" max="11781" width="18.19921875" style="5" customWidth="1"/>
    <col min="11782" max="11783" width="15" style="5" customWidth="1"/>
    <col min="11784" max="11784" width="27" style="5" customWidth="1"/>
    <col min="11785" max="11785" width="15" style="5" customWidth="1"/>
    <col min="11786" max="11786" width="11.46484375" style="5"/>
    <col min="11787" max="11788" width="16.19921875" style="5" customWidth="1"/>
    <col min="11789" max="11789" width="16.796875" style="5" customWidth="1"/>
    <col min="11790" max="11794" width="18.265625" style="5" customWidth="1"/>
    <col min="11795" max="11795" width="16.73046875" style="5" customWidth="1"/>
    <col min="11796" max="11796" width="47.73046875" style="5" customWidth="1"/>
    <col min="11797" max="12033" width="11.46484375" style="5"/>
    <col min="12034" max="12034" width="21.265625" style="5" bestFit="1" customWidth="1"/>
    <col min="12035" max="12035" width="21.265625" style="5" customWidth="1"/>
    <col min="12036" max="12036" width="33.73046875" style="5" customWidth="1"/>
    <col min="12037" max="12037" width="18.19921875" style="5" customWidth="1"/>
    <col min="12038" max="12039" width="15" style="5" customWidth="1"/>
    <col min="12040" max="12040" width="27" style="5" customWidth="1"/>
    <col min="12041" max="12041" width="15" style="5" customWidth="1"/>
    <col min="12042" max="12042" width="11.46484375" style="5"/>
    <col min="12043" max="12044" width="16.19921875" style="5" customWidth="1"/>
    <col min="12045" max="12045" width="16.796875" style="5" customWidth="1"/>
    <col min="12046" max="12050" width="18.265625" style="5" customWidth="1"/>
    <col min="12051" max="12051" width="16.73046875" style="5" customWidth="1"/>
    <col min="12052" max="12052" width="47.73046875" style="5" customWidth="1"/>
    <col min="12053" max="12289" width="11.46484375" style="5"/>
    <col min="12290" max="12290" width="21.265625" style="5" bestFit="1" customWidth="1"/>
    <col min="12291" max="12291" width="21.265625" style="5" customWidth="1"/>
    <col min="12292" max="12292" width="33.73046875" style="5" customWidth="1"/>
    <col min="12293" max="12293" width="18.19921875" style="5" customWidth="1"/>
    <col min="12294" max="12295" width="15" style="5" customWidth="1"/>
    <col min="12296" max="12296" width="27" style="5" customWidth="1"/>
    <col min="12297" max="12297" width="15" style="5" customWidth="1"/>
    <col min="12298" max="12298" width="11.46484375" style="5"/>
    <col min="12299" max="12300" width="16.19921875" style="5" customWidth="1"/>
    <col min="12301" max="12301" width="16.796875" style="5" customWidth="1"/>
    <col min="12302" max="12306" width="18.265625" style="5" customWidth="1"/>
    <col min="12307" max="12307" width="16.73046875" style="5" customWidth="1"/>
    <col min="12308" max="12308" width="47.73046875" style="5" customWidth="1"/>
    <col min="12309" max="12545" width="11.46484375" style="5"/>
    <col min="12546" max="12546" width="21.265625" style="5" bestFit="1" customWidth="1"/>
    <col min="12547" max="12547" width="21.265625" style="5" customWidth="1"/>
    <col min="12548" max="12548" width="33.73046875" style="5" customWidth="1"/>
    <col min="12549" max="12549" width="18.19921875" style="5" customWidth="1"/>
    <col min="12550" max="12551" width="15" style="5" customWidth="1"/>
    <col min="12552" max="12552" width="27" style="5" customWidth="1"/>
    <col min="12553" max="12553" width="15" style="5" customWidth="1"/>
    <col min="12554" max="12554" width="11.46484375" style="5"/>
    <col min="12555" max="12556" width="16.19921875" style="5" customWidth="1"/>
    <col min="12557" max="12557" width="16.796875" style="5" customWidth="1"/>
    <col min="12558" max="12562" width="18.265625" style="5" customWidth="1"/>
    <col min="12563" max="12563" width="16.73046875" style="5" customWidth="1"/>
    <col min="12564" max="12564" width="47.73046875" style="5" customWidth="1"/>
    <col min="12565" max="12801" width="11.46484375" style="5"/>
    <col min="12802" max="12802" width="21.265625" style="5" bestFit="1" customWidth="1"/>
    <col min="12803" max="12803" width="21.265625" style="5" customWidth="1"/>
    <col min="12804" max="12804" width="33.73046875" style="5" customWidth="1"/>
    <col min="12805" max="12805" width="18.19921875" style="5" customWidth="1"/>
    <col min="12806" max="12807" width="15" style="5" customWidth="1"/>
    <col min="12808" max="12808" width="27" style="5" customWidth="1"/>
    <col min="12809" max="12809" width="15" style="5" customWidth="1"/>
    <col min="12810" max="12810" width="11.46484375" style="5"/>
    <col min="12811" max="12812" width="16.19921875" style="5" customWidth="1"/>
    <col min="12813" max="12813" width="16.796875" style="5" customWidth="1"/>
    <col min="12814" max="12818" width="18.265625" style="5" customWidth="1"/>
    <col min="12819" max="12819" width="16.73046875" style="5" customWidth="1"/>
    <col min="12820" max="12820" width="47.73046875" style="5" customWidth="1"/>
    <col min="12821" max="13057" width="11.46484375" style="5"/>
    <col min="13058" max="13058" width="21.265625" style="5" bestFit="1" customWidth="1"/>
    <col min="13059" max="13059" width="21.265625" style="5" customWidth="1"/>
    <col min="13060" max="13060" width="33.73046875" style="5" customWidth="1"/>
    <col min="13061" max="13061" width="18.19921875" style="5" customWidth="1"/>
    <col min="13062" max="13063" width="15" style="5" customWidth="1"/>
    <col min="13064" max="13064" width="27" style="5" customWidth="1"/>
    <col min="13065" max="13065" width="15" style="5" customWidth="1"/>
    <col min="13066" max="13066" width="11.46484375" style="5"/>
    <col min="13067" max="13068" width="16.19921875" style="5" customWidth="1"/>
    <col min="13069" max="13069" width="16.796875" style="5" customWidth="1"/>
    <col min="13070" max="13074" width="18.265625" style="5" customWidth="1"/>
    <col min="13075" max="13075" width="16.73046875" style="5" customWidth="1"/>
    <col min="13076" max="13076" width="47.73046875" style="5" customWidth="1"/>
    <col min="13077" max="13313" width="11.46484375" style="5"/>
    <col min="13314" max="13314" width="21.265625" style="5" bestFit="1" customWidth="1"/>
    <col min="13315" max="13315" width="21.265625" style="5" customWidth="1"/>
    <col min="13316" max="13316" width="33.73046875" style="5" customWidth="1"/>
    <col min="13317" max="13317" width="18.19921875" style="5" customWidth="1"/>
    <col min="13318" max="13319" width="15" style="5" customWidth="1"/>
    <col min="13320" max="13320" width="27" style="5" customWidth="1"/>
    <col min="13321" max="13321" width="15" style="5" customWidth="1"/>
    <col min="13322" max="13322" width="11.46484375" style="5"/>
    <col min="13323" max="13324" width="16.19921875" style="5" customWidth="1"/>
    <col min="13325" max="13325" width="16.796875" style="5" customWidth="1"/>
    <col min="13326" max="13330" width="18.265625" style="5" customWidth="1"/>
    <col min="13331" max="13331" width="16.73046875" style="5" customWidth="1"/>
    <col min="13332" max="13332" width="47.73046875" style="5" customWidth="1"/>
    <col min="13333" max="13569" width="11.46484375" style="5"/>
    <col min="13570" max="13570" width="21.265625" style="5" bestFit="1" customWidth="1"/>
    <col min="13571" max="13571" width="21.265625" style="5" customWidth="1"/>
    <col min="13572" max="13572" width="33.73046875" style="5" customWidth="1"/>
    <col min="13573" max="13573" width="18.19921875" style="5" customWidth="1"/>
    <col min="13574" max="13575" width="15" style="5" customWidth="1"/>
    <col min="13576" max="13576" width="27" style="5" customWidth="1"/>
    <col min="13577" max="13577" width="15" style="5" customWidth="1"/>
    <col min="13578" max="13578" width="11.46484375" style="5"/>
    <col min="13579" max="13580" width="16.19921875" style="5" customWidth="1"/>
    <col min="13581" max="13581" width="16.796875" style="5" customWidth="1"/>
    <col min="13582" max="13586" width="18.265625" style="5" customWidth="1"/>
    <col min="13587" max="13587" width="16.73046875" style="5" customWidth="1"/>
    <col min="13588" max="13588" width="47.73046875" style="5" customWidth="1"/>
    <col min="13589" max="13825" width="11.46484375" style="5"/>
    <col min="13826" max="13826" width="21.265625" style="5" bestFit="1" customWidth="1"/>
    <col min="13827" max="13827" width="21.265625" style="5" customWidth="1"/>
    <col min="13828" max="13828" width="33.73046875" style="5" customWidth="1"/>
    <col min="13829" max="13829" width="18.19921875" style="5" customWidth="1"/>
    <col min="13830" max="13831" width="15" style="5" customWidth="1"/>
    <col min="13832" max="13832" width="27" style="5" customWidth="1"/>
    <col min="13833" max="13833" width="15" style="5" customWidth="1"/>
    <col min="13834" max="13834" width="11.46484375" style="5"/>
    <col min="13835" max="13836" width="16.19921875" style="5" customWidth="1"/>
    <col min="13837" max="13837" width="16.796875" style="5" customWidth="1"/>
    <col min="13838" max="13842" width="18.265625" style="5" customWidth="1"/>
    <col min="13843" max="13843" width="16.73046875" style="5" customWidth="1"/>
    <col min="13844" max="13844" width="47.73046875" style="5" customWidth="1"/>
    <col min="13845" max="14081" width="11.46484375" style="5"/>
    <col min="14082" max="14082" width="21.265625" style="5" bestFit="1" customWidth="1"/>
    <col min="14083" max="14083" width="21.265625" style="5" customWidth="1"/>
    <col min="14084" max="14084" width="33.73046875" style="5" customWidth="1"/>
    <col min="14085" max="14085" width="18.19921875" style="5" customWidth="1"/>
    <col min="14086" max="14087" width="15" style="5" customWidth="1"/>
    <col min="14088" max="14088" width="27" style="5" customWidth="1"/>
    <col min="14089" max="14089" width="15" style="5" customWidth="1"/>
    <col min="14090" max="14090" width="11.46484375" style="5"/>
    <col min="14091" max="14092" width="16.19921875" style="5" customWidth="1"/>
    <col min="14093" max="14093" width="16.796875" style="5" customWidth="1"/>
    <col min="14094" max="14098" width="18.265625" style="5" customWidth="1"/>
    <col min="14099" max="14099" width="16.73046875" style="5" customWidth="1"/>
    <col min="14100" max="14100" width="47.73046875" style="5" customWidth="1"/>
    <col min="14101" max="14337" width="11.46484375" style="5"/>
    <col min="14338" max="14338" width="21.265625" style="5" bestFit="1" customWidth="1"/>
    <col min="14339" max="14339" width="21.265625" style="5" customWidth="1"/>
    <col min="14340" max="14340" width="33.73046875" style="5" customWidth="1"/>
    <col min="14341" max="14341" width="18.19921875" style="5" customWidth="1"/>
    <col min="14342" max="14343" width="15" style="5" customWidth="1"/>
    <col min="14344" max="14344" width="27" style="5" customWidth="1"/>
    <col min="14345" max="14345" width="15" style="5" customWidth="1"/>
    <col min="14346" max="14346" width="11.46484375" style="5"/>
    <col min="14347" max="14348" width="16.19921875" style="5" customWidth="1"/>
    <col min="14349" max="14349" width="16.796875" style="5" customWidth="1"/>
    <col min="14350" max="14354" width="18.265625" style="5" customWidth="1"/>
    <col min="14355" max="14355" width="16.73046875" style="5" customWidth="1"/>
    <col min="14356" max="14356" width="47.73046875" style="5" customWidth="1"/>
    <col min="14357" max="14593" width="11.46484375" style="5"/>
    <col min="14594" max="14594" width="21.265625" style="5" bestFit="1" customWidth="1"/>
    <col min="14595" max="14595" width="21.265625" style="5" customWidth="1"/>
    <col min="14596" max="14596" width="33.73046875" style="5" customWidth="1"/>
    <col min="14597" max="14597" width="18.19921875" style="5" customWidth="1"/>
    <col min="14598" max="14599" width="15" style="5" customWidth="1"/>
    <col min="14600" max="14600" width="27" style="5" customWidth="1"/>
    <col min="14601" max="14601" width="15" style="5" customWidth="1"/>
    <col min="14602" max="14602" width="11.46484375" style="5"/>
    <col min="14603" max="14604" width="16.19921875" style="5" customWidth="1"/>
    <col min="14605" max="14605" width="16.796875" style="5" customWidth="1"/>
    <col min="14606" max="14610" width="18.265625" style="5" customWidth="1"/>
    <col min="14611" max="14611" width="16.73046875" style="5" customWidth="1"/>
    <col min="14612" max="14612" width="47.73046875" style="5" customWidth="1"/>
    <col min="14613" max="14849" width="11.46484375" style="5"/>
    <col min="14850" max="14850" width="21.265625" style="5" bestFit="1" customWidth="1"/>
    <col min="14851" max="14851" width="21.265625" style="5" customWidth="1"/>
    <col min="14852" max="14852" width="33.73046875" style="5" customWidth="1"/>
    <col min="14853" max="14853" width="18.19921875" style="5" customWidth="1"/>
    <col min="14854" max="14855" width="15" style="5" customWidth="1"/>
    <col min="14856" max="14856" width="27" style="5" customWidth="1"/>
    <col min="14857" max="14857" width="15" style="5" customWidth="1"/>
    <col min="14858" max="14858" width="11.46484375" style="5"/>
    <col min="14859" max="14860" width="16.19921875" style="5" customWidth="1"/>
    <col min="14861" max="14861" width="16.796875" style="5" customWidth="1"/>
    <col min="14862" max="14866" width="18.265625" style="5" customWidth="1"/>
    <col min="14867" max="14867" width="16.73046875" style="5" customWidth="1"/>
    <col min="14868" max="14868" width="47.73046875" style="5" customWidth="1"/>
    <col min="14869" max="15105" width="11.46484375" style="5"/>
    <col min="15106" max="15106" width="21.265625" style="5" bestFit="1" customWidth="1"/>
    <col min="15107" max="15107" width="21.265625" style="5" customWidth="1"/>
    <col min="15108" max="15108" width="33.73046875" style="5" customWidth="1"/>
    <col min="15109" max="15109" width="18.19921875" style="5" customWidth="1"/>
    <col min="15110" max="15111" width="15" style="5" customWidth="1"/>
    <col min="15112" max="15112" width="27" style="5" customWidth="1"/>
    <col min="15113" max="15113" width="15" style="5" customWidth="1"/>
    <col min="15114" max="15114" width="11.46484375" style="5"/>
    <col min="15115" max="15116" width="16.19921875" style="5" customWidth="1"/>
    <col min="15117" max="15117" width="16.796875" style="5" customWidth="1"/>
    <col min="15118" max="15122" width="18.265625" style="5" customWidth="1"/>
    <col min="15123" max="15123" width="16.73046875" style="5" customWidth="1"/>
    <col min="15124" max="15124" width="47.73046875" style="5" customWidth="1"/>
    <col min="15125" max="15361" width="11.46484375" style="5"/>
    <col min="15362" max="15362" width="21.265625" style="5" bestFit="1" customWidth="1"/>
    <col min="15363" max="15363" width="21.265625" style="5" customWidth="1"/>
    <col min="15364" max="15364" width="33.73046875" style="5" customWidth="1"/>
    <col min="15365" max="15365" width="18.19921875" style="5" customWidth="1"/>
    <col min="15366" max="15367" width="15" style="5" customWidth="1"/>
    <col min="15368" max="15368" width="27" style="5" customWidth="1"/>
    <col min="15369" max="15369" width="15" style="5" customWidth="1"/>
    <col min="15370" max="15370" width="11.46484375" style="5"/>
    <col min="15371" max="15372" width="16.19921875" style="5" customWidth="1"/>
    <col min="15373" max="15373" width="16.796875" style="5" customWidth="1"/>
    <col min="15374" max="15378" width="18.265625" style="5" customWidth="1"/>
    <col min="15379" max="15379" width="16.73046875" style="5" customWidth="1"/>
    <col min="15380" max="15380" width="47.73046875" style="5" customWidth="1"/>
    <col min="15381" max="15617" width="11.46484375" style="5"/>
    <col min="15618" max="15618" width="21.265625" style="5" bestFit="1" customWidth="1"/>
    <col min="15619" max="15619" width="21.265625" style="5" customWidth="1"/>
    <col min="15620" max="15620" width="33.73046875" style="5" customWidth="1"/>
    <col min="15621" max="15621" width="18.19921875" style="5" customWidth="1"/>
    <col min="15622" max="15623" width="15" style="5" customWidth="1"/>
    <col min="15624" max="15624" width="27" style="5" customWidth="1"/>
    <col min="15625" max="15625" width="15" style="5" customWidth="1"/>
    <col min="15626" max="15626" width="11.46484375" style="5"/>
    <col min="15627" max="15628" width="16.19921875" style="5" customWidth="1"/>
    <col min="15629" max="15629" width="16.796875" style="5" customWidth="1"/>
    <col min="15630" max="15634" width="18.265625" style="5" customWidth="1"/>
    <col min="15635" max="15635" width="16.73046875" style="5" customWidth="1"/>
    <col min="15636" max="15636" width="47.73046875" style="5" customWidth="1"/>
    <col min="15637" max="15873" width="11.46484375" style="5"/>
    <col min="15874" max="15874" width="21.265625" style="5" bestFit="1" customWidth="1"/>
    <col min="15875" max="15875" width="21.265625" style="5" customWidth="1"/>
    <col min="15876" max="15876" width="33.73046875" style="5" customWidth="1"/>
    <col min="15877" max="15877" width="18.19921875" style="5" customWidth="1"/>
    <col min="15878" max="15879" width="15" style="5" customWidth="1"/>
    <col min="15880" max="15880" width="27" style="5" customWidth="1"/>
    <col min="15881" max="15881" width="15" style="5" customWidth="1"/>
    <col min="15882" max="15882" width="11.46484375" style="5"/>
    <col min="15883" max="15884" width="16.19921875" style="5" customWidth="1"/>
    <col min="15885" max="15885" width="16.796875" style="5" customWidth="1"/>
    <col min="15886" max="15890" width="18.265625" style="5" customWidth="1"/>
    <col min="15891" max="15891" width="16.73046875" style="5" customWidth="1"/>
    <col min="15892" max="15892" width="47.73046875" style="5" customWidth="1"/>
    <col min="15893" max="16129" width="11.46484375" style="5"/>
    <col min="16130" max="16130" width="21.265625" style="5" bestFit="1" customWidth="1"/>
    <col min="16131" max="16131" width="21.265625" style="5" customWidth="1"/>
    <col min="16132" max="16132" width="33.73046875" style="5" customWidth="1"/>
    <col min="16133" max="16133" width="18.19921875" style="5" customWidth="1"/>
    <col min="16134" max="16135" width="15" style="5" customWidth="1"/>
    <col min="16136" max="16136" width="27" style="5" customWidth="1"/>
    <col min="16137" max="16137" width="15" style="5" customWidth="1"/>
    <col min="16138" max="16138" width="11.46484375" style="5"/>
    <col min="16139" max="16140" width="16.19921875" style="5" customWidth="1"/>
    <col min="16141" max="16141" width="16.796875" style="5" customWidth="1"/>
    <col min="16142" max="16146" width="18.265625" style="5" customWidth="1"/>
    <col min="16147" max="16147" width="16.73046875" style="5" customWidth="1"/>
    <col min="16148" max="16148" width="47.73046875" style="5" customWidth="1"/>
    <col min="16149" max="16384" width="11.46484375" style="5"/>
  </cols>
  <sheetData>
    <row r="1" spans="1:24" ht="39.4">
      <c r="A1" s="65" t="s">
        <v>8</v>
      </c>
      <c r="B1" s="65" t="s">
        <v>10</v>
      </c>
      <c r="C1" s="65" t="s">
        <v>34</v>
      </c>
      <c r="D1" s="65" t="s">
        <v>7</v>
      </c>
      <c r="E1" s="65" t="s">
        <v>12</v>
      </c>
      <c r="F1" s="65" t="s">
        <v>28</v>
      </c>
      <c r="G1" s="65" t="s">
        <v>29</v>
      </c>
      <c r="H1" s="65" t="s">
        <v>35</v>
      </c>
      <c r="I1" s="65" t="s">
        <v>17</v>
      </c>
      <c r="J1" s="65" t="s">
        <v>36</v>
      </c>
      <c r="K1" s="65" t="s">
        <v>32</v>
      </c>
      <c r="L1" s="65" t="s">
        <v>37</v>
      </c>
      <c r="M1" s="65" t="s">
        <v>38</v>
      </c>
      <c r="N1" s="65" t="s">
        <v>39</v>
      </c>
      <c r="O1" s="65" t="s">
        <v>40</v>
      </c>
      <c r="P1" s="65" t="s">
        <v>41</v>
      </c>
      <c r="Q1" s="65" t="s">
        <v>42</v>
      </c>
      <c r="R1" s="65" t="s">
        <v>43</v>
      </c>
      <c r="S1" s="65" t="s">
        <v>33</v>
      </c>
      <c r="U1" s="65" t="s">
        <v>50</v>
      </c>
      <c r="V1" s="65" t="s">
        <v>49</v>
      </c>
      <c r="W1" s="65" t="s">
        <v>51</v>
      </c>
      <c r="X1" s="65" t="s">
        <v>57</v>
      </c>
    </row>
    <row r="2" spans="1:24" ht="22.5" customHeight="1">
      <c r="A2" s="47" t="s">
        <v>6</v>
      </c>
      <c r="B2" s="47"/>
      <c r="C2" s="36"/>
      <c r="D2" s="80" t="str">
        <f>IFERROR(VLOOKUP(C2,#REF!,5,FALSE),"")</f>
        <v/>
      </c>
      <c r="E2" s="47"/>
      <c r="F2" s="47"/>
      <c r="G2" s="47"/>
      <c r="H2" s="47"/>
      <c r="I2" s="48"/>
      <c r="J2" s="48"/>
      <c r="K2" s="49"/>
      <c r="L2" s="49"/>
      <c r="M2" s="50"/>
      <c r="N2" s="47"/>
      <c r="O2" s="47"/>
      <c r="P2" s="50" t="e">
        <f>+ROUND((L2*O2)/(N2*12),)</f>
        <v>#DIV/0!</v>
      </c>
      <c r="Q2" s="47"/>
      <c r="R2" s="47"/>
      <c r="S2" s="51"/>
      <c r="U2" s="48" t="s">
        <v>75</v>
      </c>
      <c r="V2" s="48" t="s">
        <v>74</v>
      </c>
      <c r="W2" s="48"/>
      <c r="X2" s="74"/>
    </row>
    <row r="3" spans="1:24" ht="22.5" customHeight="1">
      <c r="A3" s="47" t="s">
        <v>6</v>
      </c>
      <c r="B3" s="47"/>
      <c r="C3" s="36"/>
      <c r="D3" s="80" t="str">
        <f>IFERROR(VLOOKUP(C3,#REF!,5,FALSE),"")</f>
        <v/>
      </c>
      <c r="E3" s="47"/>
      <c r="F3" s="47"/>
      <c r="G3" s="47"/>
      <c r="H3" s="47"/>
      <c r="I3" s="48"/>
      <c r="J3" s="48"/>
      <c r="K3" s="49"/>
      <c r="L3" s="49"/>
      <c r="M3" s="50"/>
      <c r="N3" s="47"/>
      <c r="O3" s="47"/>
      <c r="P3" s="50" t="e">
        <f t="shared" ref="P3:P5" si="0">+ROUND((L3*O3)/(N3*12),)</f>
        <v>#DIV/0!</v>
      </c>
      <c r="Q3" s="47"/>
      <c r="R3" s="47"/>
      <c r="S3" s="51"/>
      <c r="U3" s="48"/>
      <c r="V3" s="48"/>
      <c r="W3" s="48"/>
      <c r="X3" s="74"/>
    </row>
    <row r="4" spans="1:24" ht="22.5" customHeight="1">
      <c r="A4" s="47" t="s">
        <v>6</v>
      </c>
      <c r="B4" s="47"/>
      <c r="C4" s="36"/>
      <c r="D4" s="80" t="str">
        <f>IFERROR(VLOOKUP(C4,#REF!,5,FALSE),"")</f>
        <v/>
      </c>
      <c r="E4" s="47"/>
      <c r="F4" s="47"/>
      <c r="G4" s="47"/>
      <c r="H4" s="47"/>
      <c r="I4" s="48"/>
      <c r="J4" s="48"/>
      <c r="K4" s="49"/>
      <c r="L4" s="49"/>
      <c r="M4" s="50"/>
      <c r="N4" s="47"/>
      <c r="O4" s="47"/>
      <c r="P4" s="50" t="e">
        <f t="shared" si="0"/>
        <v>#DIV/0!</v>
      </c>
      <c r="Q4" s="47"/>
      <c r="R4" s="47"/>
      <c r="S4" s="51"/>
      <c r="U4" s="48"/>
      <c r="V4" s="48"/>
      <c r="W4" s="48"/>
      <c r="X4" s="74"/>
    </row>
    <row r="5" spans="1:24" ht="29.25" customHeight="1">
      <c r="A5" s="47" t="s">
        <v>6</v>
      </c>
      <c r="B5" s="47"/>
      <c r="C5" s="36"/>
      <c r="D5" s="80" t="str">
        <f>IFERROR(VLOOKUP(C5,#REF!,5,FALSE),"")</f>
        <v/>
      </c>
      <c r="E5" s="47"/>
      <c r="F5" s="47"/>
      <c r="G5" s="47"/>
      <c r="H5" s="47"/>
      <c r="I5" s="52"/>
      <c r="J5" s="48"/>
      <c r="K5" s="48"/>
      <c r="L5" s="47"/>
      <c r="M5" s="48"/>
      <c r="N5" s="48"/>
      <c r="O5" s="48"/>
      <c r="P5" s="50" t="e">
        <f t="shared" si="0"/>
        <v>#DIV/0!</v>
      </c>
      <c r="Q5" s="48"/>
      <c r="R5" s="48"/>
      <c r="S5" s="53"/>
      <c r="U5" s="48"/>
      <c r="V5" s="48"/>
      <c r="W5" s="48"/>
      <c r="X5" s="74"/>
    </row>
    <row r="6" spans="1:24" ht="29.25" customHeight="1">
      <c r="A6" s="54" t="s">
        <v>9</v>
      </c>
      <c r="B6" s="54"/>
      <c r="C6" s="54"/>
      <c r="D6" s="54"/>
      <c r="E6" s="54"/>
      <c r="F6" s="54"/>
      <c r="G6" s="54"/>
      <c r="H6" s="54"/>
      <c r="I6" s="55"/>
      <c r="J6" s="56"/>
      <c r="K6" s="56"/>
      <c r="L6" s="54"/>
      <c r="M6" s="56"/>
      <c r="N6" s="56"/>
      <c r="O6" s="56"/>
      <c r="P6" s="57" t="e">
        <f>SUBTOTAL(109,P2:P5)</f>
        <v>#DIV/0!</v>
      </c>
      <c r="Q6" s="56"/>
      <c r="R6" s="56"/>
      <c r="S6" s="58"/>
      <c r="U6" s="75"/>
      <c r="V6" s="75"/>
      <c r="W6" s="75"/>
      <c r="X6" s="76"/>
    </row>
    <row r="7" spans="1:24">
      <c r="U7" s="5"/>
      <c r="V7" s="5"/>
      <c r="W7" s="5"/>
      <c r="X7" s="5"/>
    </row>
    <row r="8" spans="1:24">
      <c r="U8" s="5"/>
      <c r="V8" s="5"/>
      <c r="W8" s="5"/>
      <c r="X8" s="5"/>
    </row>
    <row r="9" spans="1:24">
      <c r="U9" s="5"/>
      <c r="V9" s="5"/>
      <c r="W9" s="5"/>
      <c r="X9" s="5"/>
    </row>
    <row r="10" spans="1:24" s="9" customFormat="1" ht="174.7" customHeight="1">
      <c r="B10" s="86" t="s">
        <v>80</v>
      </c>
      <c r="C10" s="86"/>
      <c r="D10" s="86"/>
      <c r="E10" s="86"/>
      <c r="F10" s="86"/>
      <c r="G10" s="86"/>
      <c r="H10" s="86"/>
      <c r="I10" s="86"/>
      <c r="J10" s="86"/>
      <c r="K10" s="86"/>
      <c r="L10" s="86"/>
      <c r="M10" s="86"/>
      <c r="N10" s="86"/>
      <c r="T10" s="5"/>
      <c r="U10" s="5"/>
    </row>
    <row r="11" spans="1:24" s="9" customFormat="1" ht="25.05" customHeight="1">
      <c r="D11" s="81"/>
      <c r="E11" s="81"/>
      <c r="L11" s="15"/>
      <c r="O11" s="16"/>
      <c r="Q11" s="1"/>
      <c r="T11" s="5"/>
      <c r="U11" s="5"/>
    </row>
    <row r="12" spans="1:24" s="9" customFormat="1" ht="29.2" customHeight="1">
      <c r="D12" s="91" t="s">
        <v>76</v>
      </c>
      <c r="E12" s="91"/>
      <c r="F12" s="92" t="s">
        <v>83</v>
      </c>
      <c r="G12" s="92"/>
      <c r="H12" s="92"/>
      <c r="I12" s="92"/>
      <c r="J12" s="92"/>
      <c r="K12" s="92"/>
      <c r="L12" s="92"/>
      <c r="M12" s="92"/>
      <c r="N12" s="92"/>
      <c r="O12" s="16"/>
      <c r="Q12" s="1"/>
      <c r="T12" s="5"/>
      <c r="U12" s="5"/>
    </row>
    <row r="13" spans="1:24" s="9" customFormat="1" ht="29.2" customHeight="1">
      <c r="D13" s="81"/>
      <c r="E13" s="81"/>
      <c r="L13" s="15"/>
      <c r="O13" s="16"/>
      <c r="Q13" s="1"/>
      <c r="T13" s="5"/>
      <c r="U13" s="5"/>
    </row>
    <row r="14" spans="1:24" s="9" customFormat="1" ht="25.05" customHeight="1">
      <c r="D14" s="93" t="s">
        <v>78</v>
      </c>
      <c r="E14" s="93"/>
      <c r="F14" s="94" t="s">
        <v>79</v>
      </c>
      <c r="G14" s="94"/>
      <c r="H14" s="94"/>
      <c r="I14" s="94"/>
      <c r="J14" s="94"/>
      <c r="K14" s="94"/>
      <c r="L14" s="94"/>
      <c r="M14" s="94"/>
      <c r="N14" s="94"/>
      <c r="O14" s="16"/>
      <c r="Q14" s="1"/>
      <c r="T14" s="5"/>
      <c r="U14" s="5"/>
    </row>
    <row r="15" spans="1:24" s="9" customFormat="1" ht="25.05" customHeight="1">
      <c r="O15" s="16"/>
      <c r="Q15" s="1"/>
      <c r="T15" s="5"/>
      <c r="U15" s="5"/>
    </row>
    <row r="16" spans="1:24" s="9" customFormat="1" ht="25.05" customHeight="1">
      <c r="D16" s="89" t="s">
        <v>73</v>
      </c>
      <c r="E16" s="89"/>
      <c r="F16" s="90" t="s">
        <v>71</v>
      </c>
      <c r="G16" s="90"/>
      <c r="H16" s="90"/>
      <c r="I16" s="90"/>
      <c r="J16" s="90"/>
      <c r="K16" s="90"/>
      <c r="L16" s="90"/>
      <c r="M16" s="90"/>
      <c r="N16" s="90"/>
      <c r="O16" s="16"/>
      <c r="Q16" s="1"/>
      <c r="T16" s="5"/>
      <c r="U16" s="5"/>
    </row>
    <row r="17" spans="3:24" s="9" customFormat="1" ht="25.05" customHeight="1">
      <c r="D17" s="81"/>
      <c r="E17" s="81"/>
      <c r="H17" s="88"/>
      <c r="I17" s="88"/>
      <c r="J17" s="88"/>
      <c r="K17" s="88"/>
      <c r="L17" s="88"/>
      <c r="M17" s="88"/>
      <c r="T17" s="5"/>
      <c r="U17" s="5"/>
    </row>
    <row r="18" spans="3:24" s="9" customFormat="1" ht="23.55" customHeight="1">
      <c r="C18" s="86" t="s">
        <v>64</v>
      </c>
      <c r="D18" s="86" t="s">
        <v>59</v>
      </c>
      <c r="E18" s="86"/>
      <c r="F18" s="87" t="s">
        <v>66</v>
      </c>
      <c r="G18" s="87"/>
      <c r="H18" s="87"/>
      <c r="I18" s="87"/>
      <c r="J18" s="87"/>
      <c r="K18" s="87"/>
      <c r="L18" s="87"/>
      <c r="M18" s="87"/>
      <c r="N18" s="87"/>
      <c r="T18" s="5"/>
      <c r="U18" s="5"/>
    </row>
    <row r="19" spans="3:24" s="9" customFormat="1" ht="23.55" customHeight="1">
      <c r="C19" s="86"/>
      <c r="D19" s="81" t="s">
        <v>27</v>
      </c>
      <c r="E19" s="81"/>
      <c r="I19" s="18"/>
      <c r="J19" s="18"/>
      <c r="K19" s="18"/>
      <c r="L19" s="15"/>
      <c r="M19" s="15"/>
      <c r="T19" s="5"/>
      <c r="U19" s="5"/>
    </row>
    <row r="20" spans="3:24" s="9" customFormat="1" ht="23.55" customHeight="1">
      <c r="C20" s="86"/>
      <c r="D20" s="86" t="s">
        <v>67</v>
      </c>
      <c r="E20" s="86"/>
      <c r="F20" s="87" t="s">
        <v>68</v>
      </c>
      <c r="G20" s="87"/>
      <c r="H20" s="87"/>
      <c r="I20" s="87"/>
      <c r="J20" s="87"/>
      <c r="K20" s="87"/>
      <c r="L20" s="87"/>
      <c r="M20" s="87"/>
      <c r="N20" s="87"/>
      <c r="T20" s="5"/>
      <c r="U20" s="5"/>
    </row>
    <row r="21" spans="3:24" ht="23.55" customHeight="1">
      <c r="D21" s="70"/>
      <c r="E21" s="70"/>
      <c r="U21" s="5"/>
      <c r="V21" s="5"/>
      <c r="W21" s="5"/>
      <c r="X21" s="5"/>
    </row>
    <row r="22" spans="3:24" ht="23.55" customHeight="1">
      <c r="C22" s="86" t="s">
        <v>65</v>
      </c>
      <c r="D22" s="86" t="s">
        <v>59</v>
      </c>
      <c r="E22" s="86"/>
      <c r="F22" s="87" t="s">
        <v>70</v>
      </c>
      <c r="G22" s="87"/>
      <c r="H22" s="87"/>
      <c r="I22" s="87"/>
      <c r="J22" s="87"/>
      <c r="K22" s="87"/>
      <c r="L22" s="87"/>
      <c r="M22" s="87"/>
      <c r="N22" s="87"/>
    </row>
    <row r="23" spans="3:24" ht="23.55" customHeight="1">
      <c r="C23" s="86"/>
      <c r="D23" s="81" t="s">
        <v>27</v>
      </c>
      <c r="E23" s="81"/>
      <c r="F23" s="9"/>
      <c r="G23" s="9"/>
      <c r="H23" s="9"/>
      <c r="I23" s="18"/>
      <c r="J23" s="18"/>
      <c r="K23" s="18"/>
      <c r="L23" s="15"/>
      <c r="M23" s="15"/>
      <c r="N23" s="9"/>
    </row>
    <row r="24" spans="3:24" ht="23.55" customHeight="1">
      <c r="C24" s="86"/>
      <c r="D24" s="86" t="s">
        <v>67</v>
      </c>
      <c r="E24" s="86"/>
      <c r="F24" s="87" t="s">
        <v>69</v>
      </c>
      <c r="G24" s="87"/>
      <c r="H24" s="87"/>
      <c r="I24" s="87"/>
      <c r="J24" s="87"/>
      <c r="K24" s="87"/>
      <c r="L24" s="87"/>
      <c r="M24" s="87"/>
      <c r="N24" s="87"/>
    </row>
    <row r="25" spans="3:24">
      <c r="D25" s="70"/>
      <c r="E25" s="70"/>
    </row>
    <row r="26" spans="3:24" ht="14.55" customHeight="1">
      <c r="D26" s="86" t="s">
        <v>58</v>
      </c>
      <c r="E26" s="86"/>
      <c r="F26" s="95" t="s">
        <v>81</v>
      </c>
      <c r="G26" s="95"/>
      <c r="H26" s="95"/>
      <c r="I26" s="95"/>
      <c r="J26" s="95"/>
      <c r="K26" s="95"/>
      <c r="L26" s="95"/>
      <c r="M26" s="95"/>
      <c r="N26" s="95"/>
    </row>
    <row r="27" spans="3:24" ht="89.2" customHeight="1">
      <c r="D27" s="86"/>
      <c r="E27" s="86"/>
      <c r="F27" s="87" t="s">
        <v>82</v>
      </c>
      <c r="G27" s="87"/>
      <c r="H27" s="87"/>
      <c r="I27" s="87"/>
      <c r="J27" s="87"/>
      <c r="K27" s="87"/>
      <c r="L27" s="87"/>
      <c r="M27" s="87"/>
      <c r="N27" s="87"/>
    </row>
  </sheetData>
  <mergeCells count="21">
    <mergeCell ref="C22:C24"/>
    <mergeCell ref="C18:C20"/>
    <mergeCell ref="B10:N10"/>
    <mergeCell ref="H17:M17"/>
    <mergeCell ref="D18:E18"/>
    <mergeCell ref="F18:N18"/>
    <mergeCell ref="D20:E20"/>
    <mergeCell ref="F20:N20"/>
    <mergeCell ref="F22:N22"/>
    <mergeCell ref="F24:N24"/>
    <mergeCell ref="D16:E16"/>
    <mergeCell ref="F16:N16"/>
    <mergeCell ref="D22:E22"/>
    <mergeCell ref="D24:E24"/>
    <mergeCell ref="D12:E12"/>
    <mergeCell ref="F12:N12"/>
    <mergeCell ref="D26:E27"/>
    <mergeCell ref="F26:N26"/>
    <mergeCell ref="F27:N27"/>
    <mergeCell ref="D14:E14"/>
    <mergeCell ref="F14:N14"/>
  </mergeCells>
  <dataValidations count="6">
    <dataValidation allowBlank="1" showInputMessage="1" showErrorMessage="1" promptTitle="Ingresar código" prompt="de vida útil del activo según valores del SII. Para más información seguir link del encabezado" sqref="M1 JJ1 TF1 ADB1 AMX1 AWT1 BGP1 BQL1 CAH1 CKD1 CTZ1 DDV1 DNR1 DXN1 EHJ1 ERF1 FBB1 FKX1 FUT1 GEP1 GOL1 GYH1 HID1 HRZ1 IBV1 ILR1 IVN1 JFJ1 JPF1 JZB1 KIX1 KST1 LCP1 LML1 LWH1 MGD1 MPZ1 MZV1 NJR1 NTN1 ODJ1 ONF1 OXB1 PGX1 PQT1 QAP1 QKL1 QUH1 RED1 RNZ1 RXV1 SHR1 SRN1 TBJ1 TLF1 TVB1 UEX1 UOT1 UYP1 VIL1 VSH1 WCD1 WLZ1 WVV1 M65544 JJ65544 TF65544 ADB65544 AMX65544 AWT65544 BGP65544 BQL65544 CAH65544 CKD65544 CTZ65544 DDV65544 DNR65544 DXN65544 EHJ65544 ERF65544 FBB65544 FKX65544 FUT65544 GEP65544 GOL65544 GYH65544 HID65544 HRZ65544 IBV65544 ILR65544 IVN65544 JFJ65544 JPF65544 JZB65544 KIX65544 KST65544 LCP65544 LML65544 LWH65544 MGD65544 MPZ65544 MZV65544 NJR65544 NTN65544 ODJ65544 ONF65544 OXB65544 PGX65544 PQT65544 QAP65544 QKL65544 QUH65544 RED65544 RNZ65544 RXV65544 SHR65544 SRN65544 TBJ65544 TLF65544 TVB65544 UEX65544 UOT65544 UYP65544 VIL65544 VSH65544 WCD65544 WLZ65544 WVV65544 M131080 JJ131080 TF131080 ADB131080 AMX131080 AWT131080 BGP131080 BQL131080 CAH131080 CKD131080 CTZ131080 DDV131080 DNR131080 DXN131080 EHJ131080 ERF131080 FBB131080 FKX131080 FUT131080 GEP131080 GOL131080 GYH131080 HID131080 HRZ131080 IBV131080 ILR131080 IVN131080 JFJ131080 JPF131080 JZB131080 KIX131080 KST131080 LCP131080 LML131080 LWH131080 MGD131080 MPZ131080 MZV131080 NJR131080 NTN131080 ODJ131080 ONF131080 OXB131080 PGX131080 PQT131080 QAP131080 QKL131080 QUH131080 RED131080 RNZ131080 RXV131080 SHR131080 SRN131080 TBJ131080 TLF131080 TVB131080 UEX131080 UOT131080 UYP131080 VIL131080 VSH131080 WCD131080 WLZ131080 WVV131080 M196616 JJ196616 TF196616 ADB196616 AMX196616 AWT196616 BGP196616 BQL196616 CAH196616 CKD196616 CTZ196616 DDV196616 DNR196616 DXN196616 EHJ196616 ERF196616 FBB196616 FKX196616 FUT196616 GEP196616 GOL196616 GYH196616 HID196616 HRZ196616 IBV196616 ILR196616 IVN196616 JFJ196616 JPF196616 JZB196616 KIX196616 KST196616 LCP196616 LML196616 LWH196616 MGD196616 MPZ196616 MZV196616 NJR196616 NTN196616 ODJ196616 ONF196616 OXB196616 PGX196616 PQT196616 QAP196616 QKL196616 QUH196616 RED196616 RNZ196616 RXV196616 SHR196616 SRN196616 TBJ196616 TLF196616 TVB196616 UEX196616 UOT196616 UYP196616 VIL196616 VSH196616 WCD196616 WLZ196616 WVV196616 M262152 JJ262152 TF262152 ADB262152 AMX262152 AWT262152 BGP262152 BQL262152 CAH262152 CKD262152 CTZ262152 DDV262152 DNR262152 DXN262152 EHJ262152 ERF262152 FBB262152 FKX262152 FUT262152 GEP262152 GOL262152 GYH262152 HID262152 HRZ262152 IBV262152 ILR262152 IVN262152 JFJ262152 JPF262152 JZB262152 KIX262152 KST262152 LCP262152 LML262152 LWH262152 MGD262152 MPZ262152 MZV262152 NJR262152 NTN262152 ODJ262152 ONF262152 OXB262152 PGX262152 PQT262152 QAP262152 QKL262152 QUH262152 RED262152 RNZ262152 RXV262152 SHR262152 SRN262152 TBJ262152 TLF262152 TVB262152 UEX262152 UOT262152 UYP262152 VIL262152 VSH262152 WCD262152 WLZ262152 WVV262152 M327688 JJ327688 TF327688 ADB327688 AMX327688 AWT327688 BGP327688 BQL327688 CAH327688 CKD327688 CTZ327688 DDV327688 DNR327688 DXN327688 EHJ327688 ERF327688 FBB327688 FKX327688 FUT327688 GEP327688 GOL327688 GYH327688 HID327688 HRZ327688 IBV327688 ILR327688 IVN327688 JFJ327688 JPF327688 JZB327688 KIX327688 KST327688 LCP327688 LML327688 LWH327688 MGD327688 MPZ327688 MZV327688 NJR327688 NTN327688 ODJ327688 ONF327688 OXB327688 PGX327688 PQT327688 QAP327688 QKL327688 QUH327688 RED327688 RNZ327688 RXV327688 SHR327688 SRN327688 TBJ327688 TLF327688 TVB327688 UEX327688 UOT327688 UYP327688 VIL327688 VSH327688 WCD327688 WLZ327688 WVV327688 M393224 JJ393224 TF393224 ADB393224 AMX393224 AWT393224 BGP393224 BQL393224 CAH393224 CKD393224 CTZ393224 DDV393224 DNR393224 DXN393224 EHJ393224 ERF393224 FBB393224 FKX393224 FUT393224 GEP393224 GOL393224 GYH393224 HID393224 HRZ393224 IBV393224 ILR393224 IVN393224 JFJ393224 JPF393224 JZB393224 KIX393224 KST393224 LCP393224 LML393224 LWH393224 MGD393224 MPZ393224 MZV393224 NJR393224 NTN393224 ODJ393224 ONF393224 OXB393224 PGX393224 PQT393224 QAP393224 QKL393224 QUH393224 RED393224 RNZ393224 RXV393224 SHR393224 SRN393224 TBJ393224 TLF393224 TVB393224 UEX393224 UOT393224 UYP393224 VIL393224 VSH393224 WCD393224 WLZ393224 WVV393224 M458760 JJ458760 TF458760 ADB458760 AMX458760 AWT458760 BGP458760 BQL458760 CAH458760 CKD458760 CTZ458760 DDV458760 DNR458760 DXN458760 EHJ458760 ERF458760 FBB458760 FKX458760 FUT458760 GEP458760 GOL458760 GYH458760 HID458760 HRZ458760 IBV458760 ILR458760 IVN458760 JFJ458760 JPF458760 JZB458760 KIX458760 KST458760 LCP458760 LML458760 LWH458760 MGD458760 MPZ458760 MZV458760 NJR458760 NTN458760 ODJ458760 ONF458760 OXB458760 PGX458760 PQT458760 QAP458760 QKL458760 QUH458760 RED458760 RNZ458760 RXV458760 SHR458760 SRN458760 TBJ458760 TLF458760 TVB458760 UEX458760 UOT458760 UYP458760 VIL458760 VSH458760 WCD458760 WLZ458760 WVV458760 M524296 JJ524296 TF524296 ADB524296 AMX524296 AWT524296 BGP524296 BQL524296 CAH524296 CKD524296 CTZ524296 DDV524296 DNR524296 DXN524296 EHJ524296 ERF524296 FBB524296 FKX524296 FUT524296 GEP524296 GOL524296 GYH524296 HID524296 HRZ524296 IBV524296 ILR524296 IVN524296 JFJ524296 JPF524296 JZB524296 KIX524296 KST524296 LCP524296 LML524296 LWH524296 MGD524296 MPZ524296 MZV524296 NJR524296 NTN524296 ODJ524296 ONF524296 OXB524296 PGX524296 PQT524296 QAP524296 QKL524296 QUH524296 RED524296 RNZ524296 RXV524296 SHR524296 SRN524296 TBJ524296 TLF524296 TVB524296 UEX524296 UOT524296 UYP524296 VIL524296 VSH524296 WCD524296 WLZ524296 WVV524296 M589832 JJ589832 TF589832 ADB589832 AMX589832 AWT589832 BGP589832 BQL589832 CAH589832 CKD589832 CTZ589832 DDV589832 DNR589832 DXN589832 EHJ589832 ERF589832 FBB589832 FKX589832 FUT589832 GEP589832 GOL589832 GYH589832 HID589832 HRZ589832 IBV589832 ILR589832 IVN589832 JFJ589832 JPF589832 JZB589832 KIX589832 KST589832 LCP589832 LML589832 LWH589832 MGD589832 MPZ589832 MZV589832 NJR589832 NTN589832 ODJ589832 ONF589832 OXB589832 PGX589832 PQT589832 QAP589832 QKL589832 QUH589832 RED589832 RNZ589832 RXV589832 SHR589832 SRN589832 TBJ589832 TLF589832 TVB589832 UEX589832 UOT589832 UYP589832 VIL589832 VSH589832 WCD589832 WLZ589832 WVV589832 M655368 JJ655368 TF655368 ADB655368 AMX655368 AWT655368 BGP655368 BQL655368 CAH655368 CKD655368 CTZ655368 DDV655368 DNR655368 DXN655368 EHJ655368 ERF655368 FBB655368 FKX655368 FUT655368 GEP655368 GOL655368 GYH655368 HID655368 HRZ655368 IBV655368 ILR655368 IVN655368 JFJ655368 JPF655368 JZB655368 KIX655368 KST655368 LCP655368 LML655368 LWH655368 MGD655368 MPZ655368 MZV655368 NJR655368 NTN655368 ODJ655368 ONF655368 OXB655368 PGX655368 PQT655368 QAP655368 QKL655368 QUH655368 RED655368 RNZ655368 RXV655368 SHR655368 SRN655368 TBJ655368 TLF655368 TVB655368 UEX655368 UOT655368 UYP655368 VIL655368 VSH655368 WCD655368 WLZ655368 WVV655368 M720904 JJ720904 TF720904 ADB720904 AMX720904 AWT720904 BGP720904 BQL720904 CAH720904 CKD720904 CTZ720904 DDV720904 DNR720904 DXN720904 EHJ720904 ERF720904 FBB720904 FKX720904 FUT720904 GEP720904 GOL720904 GYH720904 HID720904 HRZ720904 IBV720904 ILR720904 IVN720904 JFJ720904 JPF720904 JZB720904 KIX720904 KST720904 LCP720904 LML720904 LWH720904 MGD720904 MPZ720904 MZV720904 NJR720904 NTN720904 ODJ720904 ONF720904 OXB720904 PGX720904 PQT720904 QAP720904 QKL720904 QUH720904 RED720904 RNZ720904 RXV720904 SHR720904 SRN720904 TBJ720904 TLF720904 TVB720904 UEX720904 UOT720904 UYP720904 VIL720904 VSH720904 WCD720904 WLZ720904 WVV720904 M786440 JJ786440 TF786440 ADB786440 AMX786440 AWT786440 BGP786440 BQL786440 CAH786440 CKD786440 CTZ786440 DDV786440 DNR786440 DXN786440 EHJ786440 ERF786440 FBB786440 FKX786440 FUT786440 GEP786440 GOL786440 GYH786440 HID786440 HRZ786440 IBV786440 ILR786440 IVN786440 JFJ786440 JPF786440 JZB786440 KIX786440 KST786440 LCP786440 LML786440 LWH786440 MGD786440 MPZ786440 MZV786440 NJR786440 NTN786440 ODJ786440 ONF786440 OXB786440 PGX786440 PQT786440 QAP786440 QKL786440 QUH786440 RED786440 RNZ786440 RXV786440 SHR786440 SRN786440 TBJ786440 TLF786440 TVB786440 UEX786440 UOT786440 UYP786440 VIL786440 VSH786440 WCD786440 WLZ786440 WVV786440 M851976 JJ851976 TF851976 ADB851976 AMX851976 AWT851976 BGP851976 BQL851976 CAH851976 CKD851976 CTZ851976 DDV851976 DNR851976 DXN851976 EHJ851976 ERF851976 FBB851976 FKX851976 FUT851976 GEP851976 GOL851976 GYH851976 HID851976 HRZ851976 IBV851976 ILR851976 IVN851976 JFJ851976 JPF851976 JZB851976 KIX851976 KST851976 LCP851976 LML851976 LWH851976 MGD851976 MPZ851976 MZV851976 NJR851976 NTN851976 ODJ851976 ONF851976 OXB851976 PGX851976 PQT851976 QAP851976 QKL851976 QUH851976 RED851976 RNZ851976 RXV851976 SHR851976 SRN851976 TBJ851976 TLF851976 TVB851976 UEX851976 UOT851976 UYP851976 VIL851976 VSH851976 WCD851976 WLZ851976 WVV851976 M917512 JJ917512 TF917512 ADB917512 AMX917512 AWT917512 BGP917512 BQL917512 CAH917512 CKD917512 CTZ917512 DDV917512 DNR917512 DXN917512 EHJ917512 ERF917512 FBB917512 FKX917512 FUT917512 GEP917512 GOL917512 GYH917512 HID917512 HRZ917512 IBV917512 ILR917512 IVN917512 JFJ917512 JPF917512 JZB917512 KIX917512 KST917512 LCP917512 LML917512 LWH917512 MGD917512 MPZ917512 MZV917512 NJR917512 NTN917512 ODJ917512 ONF917512 OXB917512 PGX917512 PQT917512 QAP917512 QKL917512 QUH917512 RED917512 RNZ917512 RXV917512 SHR917512 SRN917512 TBJ917512 TLF917512 TVB917512 UEX917512 UOT917512 UYP917512 VIL917512 VSH917512 WCD917512 WLZ917512 WVV917512 M983048 JJ983048 TF983048 ADB983048 AMX983048 AWT983048 BGP983048 BQL983048 CAH983048 CKD983048 CTZ983048 DDV983048 DNR983048 DXN983048 EHJ983048 ERF983048 FBB983048 FKX983048 FUT983048 GEP983048 GOL983048 GYH983048 HID983048 HRZ983048 IBV983048 ILR983048 IVN983048 JFJ983048 JPF983048 JZB983048 KIX983048 KST983048 LCP983048 LML983048 LWH983048 MGD983048 MPZ983048 MZV983048 NJR983048 NTN983048 ODJ983048 ONF983048 OXB983048 PGX983048 PQT983048 QAP983048 QKL983048 QUH983048 RED983048 RNZ983048 RXV983048 SHR983048 SRN983048 TBJ983048 TLF983048 TVB983048 UEX983048 UOT983048 UYP983048 VIL983048 VSH983048 WCD983048 WLZ983048 WVV983048" xr:uid="{00000000-0002-0000-0B00-000000000000}"/>
    <dataValidation type="whole" allowBlank="1" showInputMessage="1" showErrorMessage="1" errorTitle="Advertencia" error="Debe ingresar un monto válido" promptTitle="Ingresar" prompt="Monto total del bien al momento de ser activado" sqref="L1 JI1 TE1 ADA1 AMW1 AWS1 BGO1 BQK1 CAG1 CKC1 CTY1 DDU1 DNQ1 DXM1 EHI1 ERE1 FBA1 FKW1 FUS1 GEO1 GOK1 GYG1 HIC1 HRY1 IBU1 ILQ1 IVM1 JFI1 JPE1 JZA1 KIW1 KSS1 LCO1 LMK1 LWG1 MGC1 MPY1 MZU1 NJQ1 NTM1 ODI1 ONE1 OXA1 PGW1 PQS1 QAO1 QKK1 QUG1 REC1 RNY1 RXU1 SHQ1 SRM1 TBI1 TLE1 TVA1 UEW1 UOS1 UYO1 VIK1 VSG1 WCC1 WLY1 WVU1 L65544 JI65544 TE65544 ADA65544 AMW65544 AWS65544 BGO65544 BQK65544 CAG65544 CKC65544 CTY65544 DDU65544 DNQ65544 DXM65544 EHI65544 ERE65544 FBA65544 FKW65544 FUS65544 GEO65544 GOK65544 GYG65544 HIC65544 HRY65544 IBU65544 ILQ65544 IVM65544 JFI65544 JPE65544 JZA65544 KIW65544 KSS65544 LCO65544 LMK65544 LWG65544 MGC65544 MPY65544 MZU65544 NJQ65544 NTM65544 ODI65544 ONE65544 OXA65544 PGW65544 PQS65544 QAO65544 QKK65544 QUG65544 REC65544 RNY65544 RXU65544 SHQ65544 SRM65544 TBI65544 TLE65544 TVA65544 UEW65544 UOS65544 UYO65544 VIK65544 VSG65544 WCC65544 WLY65544 WVU65544 L131080 JI131080 TE131080 ADA131080 AMW131080 AWS131080 BGO131080 BQK131080 CAG131080 CKC131080 CTY131080 DDU131080 DNQ131080 DXM131080 EHI131080 ERE131080 FBA131080 FKW131080 FUS131080 GEO131080 GOK131080 GYG131080 HIC131080 HRY131080 IBU131080 ILQ131080 IVM131080 JFI131080 JPE131080 JZA131080 KIW131080 KSS131080 LCO131080 LMK131080 LWG131080 MGC131080 MPY131080 MZU131080 NJQ131080 NTM131080 ODI131080 ONE131080 OXA131080 PGW131080 PQS131080 QAO131080 QKK131080 QUG131080 REC131080 RNY131080 RXU131080 SHQ131080 SRM131080 TBI131080 TLE131080 TVA131080 UEW131080 UOS131080 UYO131080 VIK131080 VSG131080 WCC131080 WLY131080 WVU131080 L196616 JI196616 TE196616 ADA196616 AMW196616 AWS196616 BGO196616 BQK196616 CAG196616 CKC196616 CTY196616 DDU196616 DNQ196616 DXM196616 EHI196616 ERE196616 FBA196616 FKW196616 FUS196616 GEO196616 GOK196616 GYG196616 HIC196616 HRY196616 IBU196616 ILQ196616 IVM196616 JFI196616 JPE196616 JZA196616 KIW196616 KSS196616 LCO196616 LMK196616 LWG196616 MGC196616 MPY196616 MZU196616 NJQ196616 NTM196616 ODI196616 ONE196616 OXA196616 PGW196616 PQS196616 QAO196616 QKK196616 QUG196616 REC196616 RNY196616 RXU196616 SHQ196616 SRM196616 TBI196616 TLE196616 TVA196616 UEW196616 UOS196616 UYO196616 VIK196616 VSG196616 WCC196616 WLY196616 WVU196616 L262152 JI262152 TE262152 ADA262152 AMW262152 AWS262152 BGO262152 BQK262152 CAG262152 CKC262152 CTY262152 DDU262152 DNQ262152 DXM262152 EHI262152 ERE262152 FBA262152 FKW262152 FUS262152 GEO262152 GOK262152 GYG262152 HIC262152 HRY262152 IBU262152 ILQ262152 IVM262152 JFI262152 JPE262152 JZA262152 KIW262152 KSS262152 LCO262152 LMK262152 LWG262152 MGC262152 MPY262152 MZU262152 NJQ262152 NTM262152 ODI262152 ONE262152 OXA262152 PGW262152 PQS262152 QAO262152 QKK262152 QUG262152 REC262152 RNY262152 RXU262152 SHQ262152 SRM262152 TBI262152 TLE262152 TVA262152 UEW262152 UOS262152 UYO262152 VIK262152 VSG262152 WCC262152 WLY262152 WVU262152 L327688 JI327688 TE327688 ADA327688 AMW327688 AWS327688 BGO327688 BQK327688 CAG327688 CKC327688 CTY327688 DDU327688 DNQ327688 DXM327688 EHI327688 ERE327688 FBA327688 FKW327688 FUS327688 GEO327688 GOK327688 GYG327688 HIC327688 HRY327688 IBU327688 ILQ327688 IVM327688 JFI327688 JPE327688 JZA327688 KIW327688 KSS327688 LCO327688 LMK327688 LWG327688 MGC327688 MPY327688 MZU327688 NJQ327688 NTM327688 ODI327688 ONE327688 OXA327688 PGW327688 PQS327688 QAO327688 QKK327688 QUG327688 REC327688 RNY327688 RXU327688 SHQ327688 SRM327688 TBI327688 TLE327688 TVA327688 UEW327688 UOS327688 UYO327688 VIK327688 VSG327688 WCC327688 WLY327688 WVU327688 L393224 JI393224 TE393224 ADA393224 AMW393224 AWS393224 BGO393224 BQK393224 CAG393224 CKC393224 CTY393224 DDU393224 DNQ393224 DXM393224 EHI393224 ERE393224 FBA393224 FKW393224 FUS393224 GEO393224 GOK393224 GYG393224 HIC393224 HRY393224 IBU393224 ILQ393224 IVM393224 JFI393224 JPE393224 JZA393224 KIW393224 KSS393224 LCO393224 LMK393224 LWG393224 MGC393224 MPY393224 MZU393224 NJQ393224 NTM393224 ODI393224 ONE393224 OXA393224 PGW393224 PQS393224 QAO393224 QKK393224 QUG393224 REC393224 RNY393224 RXU393224 SHQ393224 SRM393224 TBI393224 TLE393224 TVA393224 UEW393224 UOS393224 UYO393224 VIK393224 VSG393224 WCC393224 WLY393224 WVU393224 L458760 JI458760 TE458760 ADA458760 AMW458760 AWS458760 BGO458760 BQK458760 CAG458760 CKC458760 CTY458760 DDU458760 DNQ458760 DXM458760 EHI458760 ERE458760 FBA458760 FKW458760 FUS458760 GEO458760 GOK458760 GYG458760 HIC458760 HRY458760 IBU458760 ILQ458760 IVM458760 JFI458760 JPE458760 JZA458760 KIW458760 KSS458760 LCO458760 LMK458760 LWG458760 MGC458760 MPY458760 MZU458760 NJQ458760 NTM458760 ODI458760 ONE458760 OXA458760 PGW458760 PQS458760 QAO458760 QKK458760 QUG458760 REC458760 RNY458760 RXU458760 SHQ458760 SRM458760 TBI458760 TLE458760 TVA458760 UEW458760 UOS458760 UYO458760 VIK458760 VSG458760 WCC458760 WLY458760 WVU458760 L524296 JI524296 TE524296 ADA524296 AMW524296 AWS524296 BGO524296 BQK524296 CAG524296 CKC524296 CTY524296 DDU524296 DNQ524296 DXM524296 EHI524296 ERE524296 FBA524296 FKW524296 FUS524296 GEO524296 GOK524296 GYG524296 HIC524296 HRY524296 IBU524296 ILQ524296 IVM524296 JFI524296 JPE524296 JZA524296 KIW524296 KSS524296 LCO524296 LMK524296 LWG524296 MGC524296 MPY524296 MZU524296 NJQ524296 NTM524296 ODI524296 ONE524296 OXA524296 PGW524296 PQS524296 QAO524296 QKK524296 QUG524296 REC524296 RNY524296 RXU524296 SHQ524296 SRM524296 TBI524296 TLE524296 TVA524296 UEW524296 UOS524296 UYO524296 VIK524296 VSG524296 WCC524296 WLY524296 WVU524296 L589832 JI589832 TE589832 ADA589832 AMW589832 AWS589832 BGO589832 BQK589832 CAG589832 CKC589832 CTY589832 DDU589832 DNQ589832 DXM589832 EHI589832 ERE589832 FBA589832 FKW589832 FUS589832 GEO589832 GOK589832 GYG589832 HIC589832 HRY589832 IBU589832 ILQ589832 IVM589832 JFI589832 JPE589832 JZA589832 KIW589832 KSS589832 LCO589832 LMK589832 LWG589832 MGC589832 MPY589832 MZU589832 NJQ589832 NTM589832 ODI589832 ONE589832 OXA589832 PGW589832 PQS589832 QAO589832 QKK589832 QUG589832 REC589832 RNY589832 RXU589832 SHQ589832 SRM589832 TBI589832 TLE589832 TVA589832 UEW589832 UOS589832 UYO589832 VIK589832 VSG589832 WCC589832 WLY589832 WVU589832 L655368 JI655368 TE655368 ADA655368 AMW655368 AWS655368 BGO655368 BQK655368 CAG655368 CKC655368 CTY655368 DDU655368 DNQ655368 DXM655368 EHI655368 ERE655368 FBA655368 FKW655368 FUS655368 GEO655368 GOK655368 GYG655368 HIC655368 HRY655368 IBU655368 ILQ655368 IVM655368 JFI655368 JPE655368 JZA655368 KIW655368 KSS655368 LCO655368 LMK655368 LWG655368 MGC655368 MPY655368 MZU655368 NJQ655368 NTM655368 ODI655368 ONE655368 OXA655368 PGW655368 PQS655368 QAO655368 QKK655368 QUG655368 REC655368 RNY655368 RXU655368 SHQ655368 SRM655368 TBI655368 TLE655368 TVA655368 UEW655368 UOS655368 UYO655368 VIK655368 VSG655368 WCC655368 WLY655368 WVU655368 L720904 JI720904 TE720904 ADA720904 AMW720904 AWS720904 BGO720904 BQK720904 CAG720904 CKC720904 CTY720904 DDU720904 DNQ720904 DXM720904 EHI720904 ERE720904 FBA720904 FKW720904 FUS720904 GEO720904 GOK720904 GYG720904 HIC720904 HRY720904 IBU720904 ILQ720904 IVM720904 JFI720904 JPE720904 JZA720904 KIW720904 KSS720904 LCO720904 LMK720904 LWG720904 MGC720904 MPY720904 MZU720904 NJQ720904 NTM720904 ODI720904 ONE720904 OXA720904 PGW720904 PQS720904 QAO720904 QKK720904 QUG720904 REC720904 RNY720904 RXU720904 SHQ720904 SRM720904 TBI720904 TLE720904 TVA720904 UEW720904 UOS720904 UYO720904 VIK720904 VSG720904 WCC720904 WLY720904 WVU720904 L786440 JI786440 TE786440 ADA786440 AMW786440 AWS786440 BGO786440 BQK786440 CAG786440 CKC786440 CTY786440 DDU786440 DNQ786440 DXM786440 EHI786440 ERE786440 FBA786440 FKW786440 FUS786440 GEO786440 GOK786440 GYG786440 HIC786440 HRY786440 IBU786440 ILQ786440 IVM786440 JFI786440 JPE786440 JZA786440 KIW786440 KSS786440 LCO786440 LMK786440 LWG786440 MGC786440 MPY786440 MZU786440 NJQ786440 NTM786440 ODI786440 ONE786440 OXA786440 PGW786440 PQS786440 QAO786440 QKK786440 QUG786440 REC786440 RNY786440 RXU786440 SHQ786440 SRM786440 TBI786440 TLE786440 TVA786440 UEW786440 UOS786440 UYO786440 VIK786440 VSG786440 WCC786440 WLY786440 WVU786440 L851976 JI851976 TE851976 ADA851976 AMW851976 AWS851976 BGO851976 BQK851976 CAG851976 CKC851976 CTY851976 DDU851976 DNQ851976 DXM851976 EHI851976 ERE851976 FBA851976 FKW851976 FUS851976 GEO851976 GOK851976 GYG851976 HIC851976 HRY851976 IBU851976 ILQ851976 IVM851976 JFI851976 JPE851976 JZA851976 KIW851976 KSS851976 LCO851976 LMK851976 LWG851976 MGC851976 MPY851976 MZU851976 NJQ851976 NTM851976 ODI851976 ONE851976 OXA851976 PGW851976 PQS851976 QAO851976 QKK851976 QUG851976 REC851976 RNY851976 RXU851976 SHQ851976 SRM851976 TBI851976 TLE851976 TVA851976 UEW851976 UOS851976 UYO851976 VIK851976 VSG851976 WCC851976 WLY851976 WVU851976 L917512 JI917512 TE917512 ADA917512 AMW917512 AWS917512 BGO917512 BQK917512 CAG917512 CKC917512 CTY917512 DDU917512 DNQ917512 DXM917512 EHI917512 ERE917512 FBA917512 FKW917512 FUS917512 GEO917512 GOK917512 GYG917512 HIC917512 HRY917512 IBU917512 ILQ917512 IVM917512 JFI917512 JPE917512 JZA917512 KIW917512 KSS917512 LCO917512 LMK917512 LWG917512 MGC917512 MPY917512 MZU917512 NJQ917512 NTM917512 ODI917512 ONE917512 OXA917512 PGW917512 PQS917512 QAO917512 QKK917512 QUG917512 REC917512 RNY917512 RXU917512 SHQ917512 SRM917512 TBI917512 TLE917512 TVA917512 UEW917512 UOS917512 UYO917512 VIK917512 VSG917512 WCC917512 WLY917512 WVU917512 L983048 JI983048 TE983048 ADA983048 AMW983048 AWS983048 BGO983048 BQK983048 CAG983048 CKC983048 CTY983048 DDU983048 DNQ983048 DXM983048 EHI983048 ERE983048 FBA983048 FKW983048 FUS983048 GEO983048 GOK983048 GYG983048 HIC983048 HRY983048 IBU983048 ILQ983048 IVM983048 JFI983048 JPE983048 JZA983048 KIW983048 KSS983048 LCO983048 LMK983048 LWG983048 MGC983048 MPY983048 MZU983048 NJQ983048 NTM983048 ODI983048 ONE983048 OXA983048 PGW983048 PQS983048 QAO983048 QKK983048 QUG983048 REC983048 RNY983048 RXU983048 SHQ983048 SRM983048 TBI983048 TLE983048 TVA983048 UEW983048 UOS983048 UYO983048 VIK983048 VSG983048 WCC983048 WLY983048 WVU983048 O1 JL1 TH1 ADD1 AMZ1 AWV1 BGR1 BQN1 CAJ1 CKF1 CUB1 DDX1 DNT1 DXP1 EHL1 ERH1 FBD1 FKZ1 FUV1 GER1 GON1 GYJ1 HIF1 HSB1 IBX1 ILT1 IVP1 JFL1 JPH1 JZD1 KIZ1 KSV1 LCR1 LMN1 LWJ1 MGF1 MQB1 MZX1 NJT1 NTP1 ODL1 ONH1 OXD1 PGZ1 PQV1 QAR1 QKN1 QUJ1 REF1 ROB1 RXX1 SHT1 SRP1 TBL1 TLH1 TVD1 UEZ1 UOV1 UYR1 VIN1 VSJ1 WCF1 WMB1 WVX1 O65544 JL65544 TH65544 ADD65544 AMZ65544 AWV65544 BGR65544 BQN65544 CAJ65544 CKF65544 CUB65544 DDX65544 DNT65544 DXP65544 EHL65544 ERH65544 FBD65544 FKZ65544 FUV65544 GER65544 GON65544 GYJ65544 HIF65544 HSB65544 IBX65544 ILT65544 IVP65544 JFL65544 JPH65544 JZD65544 KIZ65544 KSV65544 LCR65544 LMN65544 LWJ65544 MGF65544 MQB65544 MZX65544 NJT65544 NTP65544 ODL65544 ONH65544 OXD65544 PGZ65544 PQV65544 QAR65544 QKN65544 QUJ65544 REF65544 ROB65544 RXX65544 SHT65544 SRP65544 TBL65544 TLH65544 TVD65544 UEZ65544 UOV65544 UYR65544 VIN65544 VSJ65544 WCF65544 WMB65544 WVX65544 O131080 JL131080 TH131080 ADD131080 AMZ131080 AWV131080 BGR131080 BQN131080 CAJ131080 CKF131080 CUB131080 DDX131080 DNT131080 DXP131080 EHL131080 ERH131080 FBD131080 FKZ131080 FUV131080 GER131080 GON131080 GYJ131080 HIF131080 HSB131080 IBX131080 ILT131080 IVP131080 JFL131080 JPH131080 JZD131080 KIZ131080 KSV131080 LCR131080 LMN131080 LWJ131080 MGF131080 MQB131080 MZX131080 NJT131080 NTP131080 ODL131080 ONH131080 OXD131080 PGZ131080 PQV131080 QAR131080 QKN131080 QUJ131080 REF131080 ROB131080 RXX131080 SHT131080 SRP131080 TBL131080 TLH131080 TVD131080 UEZ131080 UOV131080 UYR131080 VIN131080 VSJ131080 WCF131080 WMB131080 WVX131080 O196616 JL196616 TH196616 ADD196616 AMZ196616 AWV196616 BGR196616 BQN196616 CAJ196616 CKF196616 CUB196616 DDX196616 DNT196616 DXP196616 EHL196616 ERH196616 FBD196616 FKZ196616 FUV196616 GER196616 GON196616 GYJ196616 HIF196616 HSB196616 IBX196616 ILT196616 IVP196616 JFL196616 JPH196616 JZD196616 KIZ196616 KSV196616 LCR196616 LMN196616 LWJ196616 MGF196616 MQB196616 MZX196616 NJT196616 NTP196616 ODL196616 ONH196616 OXD196616 PGZ196616 PQV196616 QAR196616 QKN196616 QUJ196616 REF196616 ROB196616 RXX196616 SHT196616 SRP196616 TBL196616 TLH196616 TVD196616 UEZ196616 UOV196616 UYR196616 VIN196616 VSJ196616 WCF196616 WMB196616 WVX196616 O262152 JL262152 TH262152 ADD262152 AMZ262152 AWV262152 BGR262152 BQN262152 CAJ262152 CKF262152 CUB262152 DDX262152 DNT262152 DXP262152 EHL262152 ERH262152 FBD262152 FKZ262152 FUV262152 GER262152 GON262152 GYJ262152 HIF262152 HSB262152 IBX262152 ILT262152 IVP262152 JFL262152 JPH262152 JZD262152 KIZ262152 KSV262152 LCR262152 LMN262152 LWJ262152 MGF262152 MQB262152 MZX262152 NJT262152 NTP262152 ODL262152 ONH262152 OXD262152 PGZ262152 PQV262152 QAR262152 QKN262152 QUJ262152 REF262152 ROB262152 RXX262152 SHT262152 SRP262152 TBL262152 TLH262152 TVD262152 UEZ262152 UOV262152 UYR262152 VIN262152 VSJ262152 WCF262152 WMB262152 WVX262152 O327688 JL327688 TH327688 ADD327688 AMZ327688 AWV327688 BGR327688 BQN327688 CAJ327688 CKF327688 CUB327688 DDX327688 DNT327688 DXP327688 EHL327688 ERH327688 FBD327688 FKZ327688 FUV327688 GER327688 GON327688 GYJ327688 HIF327688 HSB327688 IBX327688 ILT327688 IVP327688 JFL327688 JPH327688 JZD327688 KIZ327688 KSV327688 LCR327688 LMN327688 LWJ327688 MGF327688 MQB327688 MZX327688 NJT327688 NTP327688 ODL327688 ONH327688 OXD327688 PGZ327688 PQV327688 QAR327688 QKN327688 QUJ327688 REF327688 ROB327688 RXX327688 SHT327688 SRP327688 TBL327688 TLH327688 TVD327688 UEZ327688 UOV327688 UYR327688 VIN327688 VSJ327688 WCF327688 WMB327688 WVX327688 O393224 JL393224 TH393224 ADD393224 AMZ393224 AWV393224 BGR393224 BQN393224 CAJ393224 CKF393224 CUB393224 DDX393224 DNT393224 DXP393224 EHL393224 ERH393224 FBD393224 FKZ393224 FUV393224 GER393224 GON393224 GYJ393224 HIF393224 HSB393224 IBX393224 ILT393224 IVP393224 JFL393224 JPH393224 JZD393224 KIZ393224 KSV393224 LCR393224 LMN393224 LWJ393224 MGF393224 MQB393224 MZX393224 NJT393224 NTP393224 ODL393224 ONH393224 OXD393224 PGZ393224 PQV393224 QAR393224 QKN393224 QUJ393224 REF393224 ROB393224 RXX393224 SHT393224 SRP393224 TBL393224 TLH393224 TVD393224 UEZ393224 UOV393224 UYR393224 VIN393224 VSJ393224 WCF393224 WMB393224 WVX393224 O458760 JL458760 TH458760 ADD458760 AMZ458760 AWV458760 BGR458760 BQN458760 CAJ458760 CKF458760 CUB458760 DDX458760 DNT458760 DXP458760 EHL458760 ERH458760 FBD458760 FKZ458760 FUV458760 GER458760 GON458760 GYJ458760 HIF458760 HSB458760 IBX458760 ILT458760 IVP458760 JFL458760 JPH458760 JZD458760 KIZ458760 KSV458760 LCR458760 LMN458760 LWJ458760 MGF458760 MQB458760 MZX458760 NJT458760 NTP458760 ODL458760 ONH458760 OXD458760 PGZ458760 PQV458760 QAR458760 QKN458760 QUJ458760 REF458760 ROB458760 RXX458760 SHT458760 SRP458760 TBL458760 TLH458760 TVD458760 UEZ458760 UOV458760 UYR458760 VIN458760 VSJ458760 WCF458760 WMB458760 WVX458760 O524296 JL524296 TH524296 ADD524296 AMZ524296 AWV524296 BGR524296 BQN524296 CAJ524296 CKF524296 CUB524296 DDX524296 DNT524296 DXP524296 EHL524296 ERH524296 FBD524296 FKZ524296 FUV524296 GER524296 GON524296 GYJ524296 HIF524296 HSB524296 IBX524296 ILT524296 IVP524296 JFL524296 JPH524296 JZD524296 KIZ524296 KSV524296 LCR524296 LMN524296 LWJ524296 MGF524296 MQB524296 MZX524296 NJT524296 NTP524296 ODL524296 ONH524296 OXD524296 PGZ524296 PQV524296 QAR524296 QKN524296 QUJ524296 REF524296 ROB524296 RXX524296 SHT524296 SRP524296 TBL524296 TLH524296 TVD524296 UEZ524296 UOV524296 UYR524296 VIN524296 VSJ524296 WCF524296 WMB524296 WVX524296 O589832 JL589832 TH589832 ADD589832 AMZ589832 AWV589832 BGR589832 BQN589832 CAJ589832 CKF589832 CUB589832 DDX589832 DNT589832 DXP589832 EHL589832 ERH589832 FBD589832 FKZ589832 FUV589832 GER589832 GON589832 GYJ589832 HIF589832 HSB589832 IBX589832 ILT589832 IVP589832 JFL589832 JPH589832 JZD589832 KIZ589832 KSV589832 LCR589832 LMN589832 LWJ589832 MGF589832 MQB589832 MZX589832 NJT589832 NTP589832 ODL589832 ONH589832 OXD589832 PGZ589832 PQV589832 QAR589832 QKN589832 QUJ589832 REF589832 ROB589832 RXX589832 SHT589832 SRP589832 TBL589832 TLH589832 TVD589832 UEZ589832 UOV589832 UYR589832 VIN589832 VSJ589832 WCF589832 WMB589832 WVX589832 O655368 JL655368 TH655368 ADD655368 AMZ655368 AWV655368 BGR655368 BQN655368 CAJ655368 CKF655368 CUB655368 DDX655368 DNT655368 DXP655368 EHL655368 ERH655368 FBD655368 FKZ655368 FUV655368 GER655368 GON655368 GYJ655368 HIF655368 HSB655368 IBX655368 ILT655368 IVP655368 JFL655368 JPH655368 JZD655368 KIZ655368 KSV655368 LCR655368 LMN655368 LWJ655368 MGF655368 MQB655368 MZX655368 NJT655368 NTP655368 ODL655368 ONH655368 OXD655368 PGZ655368 PQV655368 QAR655368 QKN655368 QUJ655368 REF655368 ROB655368 RXX655368 SHT655368 SRP655368 TBL655368 TLH655368 TVD655368 UEZ655368 UOV655368 UYR655368 VIN655368 VSJ655368 WCF655368 WMB655368 WVX655368 O720904 JL720904 TH720904 ADD720904 AMZ720904 AWV720904 BGR720904 BQN720904 CAJ720904 CKF720904 CUB720904 DDX720904 DNT720904 DXP720904 EHL720904 ERH720904 FBD720904 FKZ720904 FUV720904 GER720904 GON720904 GYJ720904 HIF720904 HSB720904 IBX720904 ILT720904 IVP720904 JFL720904 JPH720904 JZD720904 KIZ720904 KSV720904 LCR720904 LMN720904 LWJ720904 MGF720904 MQB720904 MZX720904 NJT720904 NTP720904 ODL720904 ONH720904 OXD720904 PGZ720904 PQV720904 QAR720904 QKN720904 QUJ720904 REF720904 ROB720904 RXX720904 SHT720904 SRP720904 TBL720904 TLH720904 TVD720904 UEZ720904 UOV720904 UYR720904 VIN720904 VSJ720904 WCF720904 WMB720904 WVX720904 O786440 JL786440 TH786440 ADD786440 AMZ786440 AWV786440 BGR786440 BQN786440 CAJ786440 CKF786440 CUB786440 DDX786440 DNT786440 DXP786440 EHL786440 ERH786440 FBD786440 FKZ786440 FUV786440 GER786440 GON786440 GYJ786440 HIF786440 HSB786440 IBX786440 ILT786440 IVP786440 JFL786440 JPH786440 JZD786440 KIZ786440 KSV786440 LCR786440 LMN786440 LWJ786440 MGF786440 MQB786440 MZX786440 NJT786440 NTP786440 ODL786440 ONH786440 OXD786440 PGZ786440 PQV786440 QAR786440 QKN786440 QUJ786440 REF786440 ROB786440 RXX786440 SHT786440 SRP786440 TBL786440 TLH786440 TVD786440 UEZ786440 UOV786440 UYR786440 VIN786440 VSJ786440 WCF786440 WMB786440 WVX786440 O851976 JL851976 TH851976 ADD851976 AMZ851976 AWV851976 BGR851976 BQN851976 CAJ851976 CKF851976 CUB851976 DDX851976 DNT851976 DXP851976 EHL851976 ERH851976 FBD851976 FKZ851976 FUV851976 GER851976 GON851976 GYJ851976 HIF851976 HSB851976 IBX851976 ILT851976 IVP851976 JFL851976 JPH851976 JZD851976 KIZ851976 KSV851976 LCR851976 LMN851976 LWJ851976 MGF851976 MQB851976 MZX851976 NJT851976 NTP851976 ODL851976 ONH851976 OXD851976 PGZ851976 PQV851976 QAR851976 QKN851976 QUJ851976 REF851976 ROB851976 RXX851976 SHT851976 SRP851976 TBL851976 TLH851976 TVD851976 UEZ851976 UOV851976 UYR851976 VIN851976 VSJ851976 WCF851976 WMB851976 WVX851976 O917512 JL917512 TH917512 ADD917512 AMZ917512 AWV917512 BGR917512 BQN917512 CAJ917512 CKF917512 CUB917512 DDX917512 DNT917512 DXP917512 EHL917512 ERH917512 FBD917512 FKZ917512 FUV917512 GER917512 GON917512 GYJ917512 HIF917512 HSB917512 IBX917512 ILT917512 IVP917512 JFL917512 JPH917512 JZD917512 KIZ917512 KSV917512 LCR917512 LMN917512 LWJ917512 MGF917512 MQB917512 MZX917512 NJT917512 NTP917512 ODL917512 ONH917512 OXD917512 PGZ917512 PQV917512 QAR917512 QKN917512 QUJ917512 REF917512 ROB917512 RXX917512 SHT917512 SRP917512 TBL917512 TLH917512 TVD917512 UEZ917512 UOV917512 UYR917512 VIN917512 VSJ917512 WCF917512 WMB917512 WVX917512 O983048 JL983048 TH983048 ADD983048 AMZ983048 AWV983048 BGR983048 BQN983048 CAJ983048 CKF983048 CUB983048 DDX983048 DNT983048 DXP983048 EHL983048 ERH983048 FBD983048 FKZ983048 FUV983048 GER983048 GON983048 GYJ983048 HIF983048 HSB983048 IBX983048 ILT983048 IVP983048 JFL983048 JPH983048 JZD983048 KIZ983048 KSV983048 LCR983048 LMN983048 LWJ983048 MGF983048 MQB983048 MZX983048 NJT983048 NTP983048 ODL983048 ONH983048 OXD983048 PGZ983048 PQV983048 QAR983048 QKN983048 QUJ983048 REF983048 ROB983048 RXX983048 SHT983048 SRP983048 TBL983048 TLH983048 TVD983048 UEZ983048 UOV983048 UYR983048 VIN983048 VSJ983048 WCF983048 WMB983048 WVX983048" xr:uid="{00000000-0002-0000-0B00-000001000000}">
      <formula1>0</formula1>
      <formula2>999999999999999</formula2>
    </dataValidation>
    <dataValidation type="date" allowBlank="1" showInputMessage="1" showErrorMessage="1" errorTitle="Advertencia" error="Debe ingresar en formato de fechas" promptTitle="Ingrese fecha" prompt="Bajo el siguiente Formato:_x000a_dd/mm/aaaa_x000a_" sqref="J1 JG1 TC1 ACY1 AMU1 AWQ1 BGM1 BQI1 CAE1 CKA1 CTW1 DDS1 DNO1 DXK1 EHG1 ERC1 FAY1 FKU1 FUQ1 GEM1 GOI1 GYE1 HIA1 HRW1 IBS1 ILO1 IVK1 JFG1 JPC1 JYY1 KIU1 KSQ1 LCM1 LMI1 LWE1 MGA1 MPW1 MZS1 NJO1 NTK1 ODG1 ONC1 OWY1 PGU1 PQQ1 QAM1 QKI1 QUE1 REA1 RNW1 RXS1 SHO1 SRK1 TBG1 TLC1 TUY1 UEU1 UOQ1 UYM1 VII1 VSE1 WCA1 WLW1 WVS1 J65544 JG65544 TC65544 ACY65544 AMU65544 AWQ65544 BGM65544 BQI65544 CAE65544 CKA65544 CTW65544 DDS65544 DNO65544 DXK65544 EHG65544 ERC65544 FAY65544 FKU65544 FUQ65544 GEM65544 GOI65544 GYE65544 HIA65544 HRW65544 IBS65544 ILO65544 IVK65544 JFG65544 JPC65544 JYY65544 KIU65544 KSQ65544 LCM65544 LMI65544 LWE65544 MGA65544 MPW65544 MZS65544 NJO65544 NTK65544 ODG65544 ONC65544 OWY65544 PGU65544 PQQ65544 QAM65544 QKI65544 QUE65544 REA65544 RNW65544 RXS65544 SHO65544 SRK65544 TBG65544 TLC65544 TUY65544 UEU65544 UOQ65544 UYM65544 VII65544 VSE65544 WCA65544 WLW65544 WVS65544 J131080 JG131080 TC131080 ACY131080 AMU131080 AWQ131080 BGM131080 BQI131080 CAE131080 CKA131080 CTW131080 DDS131080 DNO131080 DXK131080 EHG131080 ERC131080 FAY131080 FKU131080 FUQ131080 GEM131080 GOI131080 GYE131080 HIA131080 HRW131080 IBS131080 ILO131080 IVK131080 JFG131080 JPC131080 JYY131080 KIU131080 KSQ131080 LCM131080 LMI131080 LWE131080 MGA131080 MPW131080 MZS131080 NJO131080 NTK131080 ODG131080 ONC131080 OWY131080 PGU131080 PQQ131080 QAM131080 QKI131080 QUE131080 REA131080 RNW131080 RXS131080 SHO131080 SRK131080 TBG131080 TLC131080 TUY131080 UEU131080 UOQ131080 UYM131080 VII131080 VSE131080 WCA131080 WLW131080 WVS131080 J196616 JG196616 TC196616 ACY196616 AMU196616 AWQ196616 BGM196616 BQI196616 CAE196616 CKA196616 CTW196616 DDS196616 DNO196616 DXK196616 EHG196616 ERC196616 FAY196616 FKU196616 FUQ196616 GEM196616 GOI196616 GYE196616 HIA196616 HRW196616 IBS196616 ILO196616 IVK196616 JFG196616 JPC196616 JYY196616 KIU196616 KSQ196616 LCM196616 LMI196616 LWE196616 MGA196616 MPW196616 MZS196616 NJO196616 NTK196616 ODG196616 ONC196616 OWY196616 PGU196616 PQQ196616 QAM196616 QKI196616 QUE196616 REA196616 RNW196616 RXS196616 SHO196616 SRK196616 TBG196616 TLC196616 TUY196616 UEU196616 UOQ196616 UYM196616 VII196616 VSE196616 WCA196616 WLW196616 WVS196616 J262152 JG262152 TC262152 ACY262152 AMU262152 AWQ262152 BGM262152 BQI262152 CAE262152 CKA262152 CTW262152 DDS262152 DNO262152 DXK262152 EHG262152 ERC262152 FAY262152 FKU262152 FUQ262152 GEM262152 GOI262152 GYE262152 HIA262152 HRW262152 IBS262152 ILO262152 IVK262152 JFG262152 JPC262152 JYY262152 KIU262152 KSQ262152 LCM262152 LMI262152 LWE262152 MGA262152 MPW262152 MZS262152 NJO262152 NTK262152 ODG262152 ONC262152 OWY262152 PGU262152 PQQ262152 QAM262152 QKI262152 QUE262152 REA262152 RNW262152 RXS262152 SHO262152 SRK262152 TBG262152 TLC262152 TUY262152 UEU262152 UOQ262152 UYM262152 VII262152 VSE262152 WCA262152 WLW262152 WVS262152 J327688 JG327688 TC327688 ACY327688 AMU327688 AWQ327688 BGM327688 BQI327688 CAE327688 CKA327688 CTW327688 DDS327688 DNO327688 DXK327688 EHG327688 ERC327688 FAY327688 FKU327688 FUQ327688 GEM327688 GOI327688 GYE327688 HIA327688 HRW327688 IBS327688 ILO327688 IVK327688 JFG327688 JPC327688 JYY327688 KIU327688 KSQ327688 LCM327688 LMI327688 LWE327688 MGA327688 MPW327688 MZS327688 NJO327688 NTK327688 ODG327688 ONC327688 OWY327688 PGU327688 PQQ327688 QAM327688 QKI327688 QUE327688 REA327688 RNW327688 RXS327688 SHO327688 SRK327688 TBG327688 TLC327688 TUY327688 UEU327688 UOQ327688 UYM327688 VII327688 VSE327688 WCA327688 WLW327688 WVS327688 J393224 JG393224 TC393224 ACY393224 AMU393224 AWQ393224 BGM393224 BQI393224 CAE393224 CKA393224 CTW393224 DDS393224 DNO393224 DXK393224 EHG393224 ERC393224 FAY393224 FKU393224 FUQ393224 GEM393224 GOI393224 GYE393224 HIA393224 HRW393224 IBS393224 ILO393224 IVK393224 JFG393224 JPC393224 JYY393224 KIU393224 KSQ393224 LCM393224 LMI393224 LWE393224 MGA393224 MPW393224 MZS393224 NJO393224 NTK393224 ODG393224 ONC393224 OWY393224 PGU393224 PQQ393224 QAM393224 QKI393224 QUE393224 REA393224 RNW393224 RXS393224 SHO393224 SRK393224 TBG393224 TLC393224 TUY393224 UEU393224 UOQ393224 UYM393224 VII393224 VSE393224 WCA393224 WLW393224 WVS393224 J458760 JG458760 TC458760 ACY458760 AMU458760 AWQ458760 BGM458760 BQI458760 CAE458760 CKA458760 CTW458760 DDS458760 DNO458760 DXK458760 EHG458760 ERC458760 FAY458760 FKU458760 FUQ458760 GEM458760 GOI458760 GYE458760 HIA458760 HRW458760 IBS458760 ILO458760 IVK458760 JFG458760 JPC458760 JYY458760 KIU458760 KSQ458760 LCM458760 LMI458760 LWE458760 MGA458760 MPW458760 MZS458760 NJO458760 NTK458760 ODG458760 ONC458760 OWY458760 PGU458760 PQQ458760 QAM458760 QKI458760 QUE458760 REA458760 RNW458760 RXS458760 SHO458760 SRK458760 TBG458760 TLC458760 TUY458760 UEU458760 UOQ458760 UYM458760 VII458760 VSE458760 WCA458760 WLW458760 WVS458760 J524296 JG524296 TC524296 ACY524296 AMU524296 AWQ524296 BGM524296 BQI524296 CAE524296 CKA524296 CTW524296 DDS524296 DNO524296 DXK524296 EHG524296 ERC524296 FAY524296 FKU524296 FUQ524296 GEM524296 GOI524296 GYE524296 HIA524296 HRW524296 IBS524296 ILO524296 IVK524296 JFG524296 JPC524296 JYY524296 KIU524296 KSQ524296 LCM524296 LMI524296 LWE524296 MGA524296 MPW524296 MZS524296 NJO524296 NTK524296 ODG524296 ONC524296 OWY524296 PGU524296 PQQ524296 QAM524296 QKI524296 QUE524296 REA524296 RNW524296 RXS524296 SHO524296 SRK524296 TBG524296 TLC524296 TUY524296 UEU524296 UOQ524296 UYM524296 VII524296 VSE524296 WCA524296 WLW524296 WVS524296 J589832 JG589832 TC589832 ACY589832 AMU589832 AWQ589832 BGM589832 BQI589832 CAE589832 CKA589832 CTW589832 DDS589832 DNO589832 DXK589832 EHG589832 ERC589832 FAY589832 FKU589832 FUQ589832 GEM589832 GOI589832 GYE589832 HIA589832 HRW589832 IBS589832 ILO589832 IVK589832 JFG589832 JPC589832 JYY589832 KIU589832 KSQ589832 LCM589832 LMI589832 LWE589832 MGA589832 MPW589832 MZS589832 NJO589832 NTK589832 ODG589832 ONC589832 OWY589832 PGU589832 PQQ589832 QAM589832 QKI589832 QUE589832 REA589832 RNW589832 RXS589832 SHO589832 SRK589832 TBG589832 TLC589832 TUY589832 UEU589832 UOQ589832 UYM589832 VII589832 VSE589832 WCA589832 WLW589832 WVS589832 J655368 JG655368 TC655368 ACY655368 AMU655368 AWQ655368 BGM655368 BQI655368 CAE655368 CKA655368 CTW655368 DDS655368 DNO655368 DXK655368 EHG655368 ERC655368 FAY655368 FKU655368 FUQ655368 GEM655368 GOI655368 GYE655368 HIA655368 HRW655368 IBS655368 ILO655368 IVK655368 JFG655368 JPC655368 JYY655368 KIU655368 KSQ655368 LCM655368 LMI655368 LWE655368 MGA655368 MPW655368 MZS655368 NJO655368 NTK655368 ODG655368 ONC655368 OWY655368 PGU655368 PQQ655368 QAM655368 QKI655368 QUE655368 REA655368 RNW655368 RXS655368 SHO655368 SRK655368 TBG655368 TLC655368 TUY655368 UEU655368 UOQ655368 UYM655368 VII655368 VSE655368 WCA655368 WLW655368 WVS655368 J720904 JG720904 TC720904 ACY720904 AMU720904 AWQ720904 BGM720904 BQI720904 CAE720904 CKA720904 CTW720904 DDS720904 DNO720904 DXK720904 EHG720904 ERC720904 FAY720904 FKU720904 FUQ720904 GEM720904 GOI720904 GYE720904 HIA720904 HRW720904 IBS720904 ILO720904 IVK720904 JFG720904 JPC720904 JYY720904 KIU720904 KSQ720904 LCM720904 LMI720904 LWE720904 MGA720904 MPW720904 MZS720904 NJO720904 NTK720904 ODG720904 ONC720904 OWY720904 PGU720904 PQQ720904 QAM720904 QKI720904 QUE720904 REA720904 RNW720904 RXS720904 SHO720904 SRK720904 TBG720904 TLC720904 TUY720904 UEU720904 UOQ720904 UYM720904 VII720904 VSE720904 WCA720904 WLW720904 WVS720904 J786440 JG786440 TC786440 ACY786440 AMU786440 AWQ786440 BGM786440 BQI786440 CAE786440 CKA786440 CTW786440 DDS786440 DNO786440 DXK786440 EHG786440 ERC786440 FAY786440 FKU786440 FUQ786440 GEM786440 GOI786440 GYE786440 HIA786440 HRW786440 IBS786440 ILO786440 IVK786440 JFG786440 JPC786440 JYY786440 KIU786440 KSQ786440 LCM786440 LMI786440 LWE786440 MGA786440 MPW786440 MZS786440 NJO786440 NTK786440 ODG786440 ONC786440 OWY786440 PGU786440 PQQ786440 QAM786440 QKI786440 QUE786440 REA786440 RNW786440 RXS786440 SHO786440 SRK786440 TBG786440 TLC786440 TUY786440 UEU786440 UOQ786440 UYM786440 VII786440 VSE786440 WCA786440 WLW786440 WVS786440 J851976 JG851976 TC851976 ACY851976 AMU851976 AWQ851976 BGM851976 BQI851976 CAE851976 CKA851976 CTW851976 DDS851976 DNO851976 DXK851976 EHG851976 ERC851976 FAY851976 FKU851976 FUQ851976 GEM851976 GOI851976 GYE851976 HIA851976 HRW851976 IBS851976 ILO851976 IVK851976 JFG851976 JPC851976 JYY851976 KIU851976 KSQ851976 LCM851976 LMI851976 LWE851976 MGA851976 MPW851976 MZS851976 NJO851976 NTK851976 ODG851976 ONC851976 OWY851976 PGU851976 PQQ851976 QAM851976 QKI851976 QUE851976 REA851976 RNW851976 RXS851976 SHO851976 SRK851976 TBG851976 TLC851976 TUY851976 UEU851976 UOQ851976 UYM851976 VII851976 VSE851976 WCA851976 WLW851976 WVS851976 J917512 JG917512 TC917512 ACY917512 AMU917512 AWQ917512 BGM917512 BQI917512 CAE917512 CKA917512 CTW917512 DDS917512 DNO917512 DXK917512 EHG917512 ERC917512 FAY917512 FKU917512 FUQ917512 GEM917512 GOI917512 GYE917512 HIA917512 HRW917512 IBS917512 ILO917512 IVK917512 JFG917512 JPC917512 JYY917512 KIU917512 KSQ917512 LCM917512 LMI917512 LWE917512 MGA917512 MPW917512 MZS917512 NJO917512 NTK917512 ODG917512 ONC917512 OWY917512 PGU917512 PQQ917512 QAM917512 QKI917512 QUE917512 REA917512 RNW917512 RXS917512 SHO917512 SRK917512 TBG917512 TLC917512 TUY917512 UEU917512 UOQ917512 UYM917512 VII917512 VSE917512 WCA917512 WLW917512 WVS917512 J983048 JG983048 TC983048 ACY983048 AMU983048 AWQ983048 BGM983048 BQI983048 CAE983048 CKA983048 CTW983048 DDS983048 DNO983048 DXK983048 EHG983048 ERC983048 FAY983048 FKU983048 FUQ983048 GEM983048 GOI983048 GYE983048 HIA983048 HRW983048 IBS983048 ILO983048 IVK983048 JFG983048 JPC983048 JYY983048 KIU983048 KSQ983048 LCM983048 LMI983048 LWE983048 MGA983048 MPW983048 MZS983048 NJO983048 NTK983048 ODG983048 ONC983048 OWY983048 PGU983048 PQQ983048 QAM983048 QKI983048 QUE983048 REA983048 RNW983048 RXS983048 SHO983048 SRK983048 TBG983048 TLC983048 TUY983048 UEU983048 UOQ983048 UYM983048 VII983048 VSE983048 WCA983048 WLW983048 WVS983048" xr:uid="{00000000-0002-0000-0B00-000002000000}">
      <formula1>36526</formula1>
      <formula2>55153</formula2>
    </dataValidation>
    <dataValidation type="list" allowBlank="1" showInputMessage="1" showErrorMessage="1" sqref="A2:A5" xr:uid="{00000000-0002-0000-0B00-000003000000}">
      <formula1>CUENTAS</formula1>
    </dataValidation>
    <dataValidation type="list" allowBlank="1" showInputMessage="1" showErrorMessage="1" sqref="C2:C5" xr:uid="{00000000-0002-0000-0B00-000004000000}">
      <formula1>GASTOS_DE_INVERSION</formula1>
    </dataValidation>
    <dataValidation type="list" allowBlank="1" showInputMessage="1" showErrorMessage="1" sqref="U2:W6" xr:uid="{0BB057CD-34BE-4839-91DC-4096B8C32429}">
      <formula1>"OK, PENDIENTE, CON OBSERVACIONES"</formula1>
    </dataValidation>
  </dataValidations>
  <hyperlinks>
    <hyperlink ref="M1" r:id="rId1" xr:uid="{00000000-0004-0000-0B00-000000000000}"/>
  </hyperlinks>
  <pageMargins left="0.7" right="0.7" top="0.75" bottom="0.75" header="0.3" footer="0.3"/>
  <pageSetup orientation="portrait" r:id="rId2"/>
  <legacyDrawing r:id="rId3"/>
  <extLst>
    <ext xmlns:x14="http://schemas.microsoft.com/office/spreadsheetml/2009/9/main" uri="{78C0D931-6437-407d-A8EE-F0AAD7539E65}">
      <x14:conditionalFormattings>
        <x14:conditionalFormatting xmlns:xm="http://schemas.microsoft.com/office/excel/2006/main">
          <x14:cfRule type="cellIs" priority="1" operator="equal" id="{22D2F727-00DB-422A-93E2-A435E3C82311}">
            <xm:f>#REF!</xm:f>
            <x14:dxf>
              <font>
                <color rgb="FF006100"/>
              </font>
              <fill>
                <patternFill>
                  <bgColor rgb="FFC6EFCE"/>
                </patternFill>
              </fill>
            </x14:dxf>
          </x14:cfRule>
          <xm:sqref>E2:E5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ED3480F-FBEC-44E8-A774-F32FEEA40811}">
          <x14:formula1>
            <xm:f>#REF!</xm:f>
          </x14:formula1>
          <xm:sqref>B2:B5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E94AE6E7704AC41912BADFF945C8758" ma:contentTypeVersion="16" ma:contentTypeDescription="Crear nuevo documento." ma:contentTypeScope="" ma:versionID="fff8d74b4b35dfe6d3f41acfa3ce5bc1">
  <xsd:schema xmlns:xsd="http://www.w3.org/2001/XMLSchema" xmlns:xs="http://www.w3.org/2001/XMLSchema" xmlns:p="http://schemas.microsoft.com/office/2006/metadata/properties" xmlns:ns2="26f01ef0-44e3-4f6b-b259-4ce20648b8d3" xmlns:ns3="fff0f579-4a11-475b-a972-766db70df987" targetNamespace="http://schemas.microsoft.com/office/2006/metadata/properties" ma:root="true" ma:fieldsID="dcc75d4d3d0dc2fe99bb0ce02bac91b5" ns2:_="" ns3:_="">
    <xsd:import namespace="26f01ef0-44e3-4f6b-b259-4ce20648b8d3"/>
    <xsd:import namespace="fff0f579-4a11-475b-a972-766db70df98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2:MediaServiceLocation" minOccurs="0"/>
                <xsd:element ref="ns2:lcf76f155ced4ddcb4097134ff3c332f" minOccurs="0"/>
                <xsd:element ref="ns3:TaxCatchAll"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f01ef0-44e3-4f6b-b259-4ce20648b8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6a973890-b062-4a56-850c-03fbf011934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ff0f579-4a11-475b-a972-766db70df987"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063e1bf7-e05f-435d-bd9d-dd9d5afa1fa2}" ma:internalName="TaxCatchAll" ma:showField="CatchAllData" ma:web="fff0f579-4a11-475b-a972-766db70df987">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ff0f579-4a11-475b-a972-766db70df987" xsi:nil="true"/>
    <lcf76f155ced4ddcb4097134ff3c332f xmlns="26f01ef0-44e3-4f6b-b259-4ce20648b8d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A1054B2-51EA-4B5D-A37C-CBEA67F4C8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f01ef0-44e3-4f6b-b259-4ce20648b8d3"/>
    <ds:schemaRef ds:uri="fff0f579-4a11-475b-a972-766db70df9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A64107-8CF1-43FF-9769-2368F05AC76D}">
  <ds:schemaRefs>
    <ds:schemaRef ds:uri="http://schemas.microsoft.com/sharepoint/v3/contenttype/forms"/>
  </ds:schemaRefs>
</ds:datastoreItem>
</file>

<file path=customXml/itemProps3.xml><?xml version="1.0" encoding="utf-8"?>
<ds:datastoreItem xmlns:ds="http://schemas.openxmlformats.org/officeDocument/2006/customXml" ds:itemID="{982F46C8-9C6A-471F-A393-966C0BAF1BF8}">
  <ds:schemaRefs>
    <ds:schemaRef ds:uri="fff0f579-4a11-475b-a972-766db70df987"/>
    <ds:schemaRef ds:uri="http://schemas.microsoft.com/office/2006/metadata/properties"/>
    <ds:schemaRef ds:uri="http://schemas.microsoft.com/office/infopath/2007/PartnerControls"/>
    <ds:schemaRef ds:uri="http://schemas.microsoft.com/office/2006/documentManagement/types"/>
    <ds:schemaRef ds:uri="http://purl.org/dc/dcmitype/"/>
    <ds:schemaRef ds:uri="http://purl.org/dc/terms/"/>
    <ds:schemaRef ds:uri="26f01ef0-44e3-4f6b-b259-4ce20648b8d3"/>
    <ds:schemaRef ds:uri="http://purl.org/dc/elements/1.1/"/>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19</vt:i4>
      </vt:variant>
    </vt:vector>
  </HeadingPairs>
  <TitlesOfParts>
    <vt:vector size="27" baseType="lpstr">
      <vt:lpstr>ANTES DE EMPEZAR</vt:lpstr>
      <vt:lpstr>RRHH</vt:lpstr>
      <vt:lpstr>Gastos de Operación</vt:lpstr>
      <vt:lpstr>Pers.Juridica</vt:lpstr>
      <vt:lpstr>Prop. Intelectual</vt:lpstr>
      <vt:lpstr>Arriendo</vt:lpstr>
      <vt:lpstr>Servicios Básicos</vt:lpstr>
      <vt:lpstr>Inversión</vt:lpstr>
      <vt:lpstr>Año_Arriendo</vt:lpstr>
      <vt:lpstr>Año_Basicos</vt:lpstr>
      <vt:lpstr>Año_Juridica</vt:lpstr>
      <vt:lpstr>Año_Operacion</vt:lpstr>
      <vt:lpstr>'Prop. Intelectual'!Año_Prop.intelectual</vt:lpstr>
      <vt:lpstr>Año_RRHH</vt:lpstr>
      <vt:lpstr>Mes_Arriendo</vt:lpstr>
      <vt:lpstr>Mes_Basicos</vt:lpstr>
      <vt:lpstr>Mes_juridica</vt:lpstr>
      <vt:lpstr>Mes_Operacion</vt:lpstr>
      <vt:lpstr>'Prop. Intelectual'!Mes_Prop.Intelectual</vt:lpstr>
      <vt:lpstr>Mes_RRHH</vt:lpstr>
      <vt:lpstr>Valor_Rendido_Arriendo</vt:lpstr>
      <vt:lpstr>Valor_Rendido_Basicos</vt:lpstr>
      <vt:lpstr>Valor_Rendido_Juridica</vt:lpstr>
      <vt:lpstr>Valor_Rendido_Operacion</vt:lpstr>
      <vt:lpstr>'Prop. Intelectual'!Valor_Rendido_Prop.Intelectual</vt:lpstr>
      <vt:lpstr>Valor_Rendido_Prop.Intelectual</vt:lpstr>
      <vt:lpstr>Valor_Rendido_RRHH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Denisse Bassaber Yávar</dc:creator>
  <cp:keywords/>
  <dc:description/>
  <cp:lastModifiedBy>JUAN SEBASTIAN CASTILLO AMAYA</cp:lastModifiedBy>
  <cp:revision/>
  <dcterms:created xsi:type="dcterms:W3CDTF">2013-12-19T20:18:13Z</dcterms:created>
  <dcterms:modified xsi:type="dcterms:W3CDTF">2026-08-31T01:22:33Z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0x010100BE94AE6E7704AC41912BADFF945C8758</vt:lpwstr>
  </property>
  <property fmtid="{D5CDD505-2E9C-101B-9397-08002B2CF9AE}" pid="3" name="MediaServiceImageTags">
    <vt:lpwstr/>
  </property>
</Properties>
</file>